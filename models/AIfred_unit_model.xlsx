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Capture" sheetId="3" state="visible" r:id="rId5"/>
    <sheet name="Rollup" sheetId="4" state="visible" r:id="rId6"/>
    <sheet name="Model" sheetId="5" state="visible" r:id="rId7"/>
    <sheet name="Trajectory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<sst xmlns="http://schemas.openxmlformats.org/spreadsheetml/2006/main" count="401" uniqueCount="338">
  <si>
    <t xml:space="preserve">AI.fred task cost measurement model</t>
  </si>
  <si>
    <t xml:space="preserve">This workbook turns three measured numbers per task type into a headcount and a gross margin. It is the model referred to in the measurement protocol document; fill the Capture sheet from the protocol's runs and the rest computes.</t>
  </si>
  <si>
    <t xml:space="preserve">How to use it</t>
  </si>
  <si>
    <t xml:space="preserve">1. Open Inputs and set the demand, pricing and labour assumptions. Every cell you may edit is yellow.</t>
  </si>
  <si>
    <t xml:space="preserve">2. Run the 30 tasks in the protocol. Record each task's results on one row of Capture.</t>
  </si>
  <si>
    <t xml:space="preserve">3. Rollup aggregates Capture by observed tier. Nothing on Rollup is editable.</t>
  </si>
  <si>
    <t xml:space="preserve">4. On Inputs, set 'Tier data source' to MEASURED once Capture has real data in it. Until then leave it on PLANNING and the model runs on your stated assumptions of 35 / 50 / 15 per cent.</t>
  </si>
  <si>
    <t xml:space="preserve">5. Model shows headcount, cost per task and gross margin. The sensitivity grid at the bottom shows how margin moves with the two numbers that actually decide it.</t>
  </si>
  <si>
    <t xml:space="preserve">Colour convention</t>
  </si>
  <si>
    <t xml:space="preserve">Yellow fill with blue text: an input you set. Black text: a formula. Green text: a link to another sheet.</t>
  </si>
  <si>
    <t xml:space="preserve">The point of the exercise</t>
  </si>
  <si>
    <t xml:space="preserve">The headcount ratio is an output of this model, not an input to it. If the measured numbers give a ratio far from 1 generalist per 30 users, that is the finding, and it is better found now for a few hundred dollars of API spend than after a floor has been leased.</t>
  </si>
  <si>
    <t xml:space="preserve">Known simplifications</t>
  </si>
  <si>
    <t xml:space="preserve">Token cost is modelled per task from measured input and output tokens at list prices; caching and batch discounts are not modelled and will reduce it. Supervision is a ratio of generalist headcount rather than a staffing model. Utilisation is a single figure; in reality it varies by shift and by queue arrival pattern, and above roughly 80 per cent waiting time rises sharply.</t>
  </si>
  <si>
    <t xml:space="preserve">Inputs and assumptions</t>
  </si>
  <si>
    <t xml:space="preserve">Yellow cells are yours to set. Everything else on this sheet is derived.</t>
  </si>
  <si>
    <t xml:space="preserve">Demand</t>
  </si>
  <si>
    <t xml:space="preserve">Users (paying)</t>
  </si>
  <si>
    <t xml:space="preserve">Your stated pilot-scale figure</t>
  </si>
  <si>
    <t xml:space="preserve">Tasks per user per day</t>
  </si>
  <si>
    <t xml:space="preserve">Your stated usage assumption</t>
  </si>
  <si>
    <t xml:space="preserve">Days per month</t>
  </si>
  <si>
    <t xml:space="preserve">Service runs seven days</t>
  </si>
  <si>
    <t xml:space="preserve">Tasks per day (total)</t>
  </si>
  <si>
    <t xml:space="preserve">Users x tasks per user per day</t>
  </si>
  <si>
    <t xml:space="preserve">Pricing</t>
  </si>
  <si>
    <t xml:space="preserve">Tier 1 price (USD per month)</t>
  </si>
  <si>
    <t xml:space="preserve">Mass tier</t>
  </si>
  <si>
    <t xml:space="preserve">Tier 1 share of users</t>
  </si>
  <si>
    <t xml:space="preserve">Tier 2 price (USD per month)</t>
  </si>
  <si>
    <t xml:space="preserve">Privileged tier</t>
  </si>
  <si>
    <t xml:space="preserve">Tier 2 share of users</t>
  </si>
  <si>
    <t xml:space="preserve">Tier 3 price (USD per month)</t>
  </si>
  <si>
    <t xml:space="preserve">VIP tier</t>
  </si>
  <si>
    <t xml:space="preserve">Tier 3 share of users</t>
  </si>
  <si>
    <t xml:space="preserve">Shares should sum to 100 per cent</t>
  </si>
  <si>
    <t xml:space="preserve">Blended price (USD per user per month)</t>
  </si>
  <si>
    <t xml:space="preserve">Share check (must be 100%)</t>
  </si>
  <si>
    <t xml:space="preserve">USD to INR</t>
  </si>
  <si>
    <t xml:space="preserve">Set to the rate you want to model</t>
  </si>
  <si>
    <t xml:space="preserve">Labour</t>
  </si>
  <si>
    <t xml:space="preserve">Generalist CTC (INR per year)</t>
  </si>
  <si>
    <t xml:space="preserve">Your stated 5 LPA</t>
  </si>
  <si>
    <t xml:space="preserve">Statutory on-cost and benefits</t>
  </si>
  <si>
    <t xml:space="preserve">PF, ESI, gratuity, insurance, transport</t>
  </si>
  <si>
    <t xml:space="preserve">Productive minutes per head per day</t>
  </si>
  <si>
    <t xml:space="preserve">6.5 hours of an 8 hour shift</t>
  </si>
  <si>
    <t xml:space="preserve">Target utilisation</t>
  </si>
  <si>
    <t xml:space="preserve">Interrupt-driven queues degrade sharply above about 80 per cent</t>
  </si>
  <si>
    <t xml:space="preserve">Supervisors per generalist</t>
  </si>
  <si>
    <t xml:space="preserve">Team leads, QA and escalation cover</t>
  </si>
  <si>
    <t xml:space="preserve">Supervisor CTC (INR per year)</t>
  </si>
  <si>
    <t xml:space="preserve">Token prices</t>
  </si>
  <si>
    <t xml:space="preserve">Input tokens (USD per million)</t>
  </si>
  <si>
    <t xml:space="preserve">Frontier list price; caching reduces this materially</t>
  </si>
  <si>
    <t xml:space="preserve">Output tokens (USD per million)</t>
  </si>
  <si>
    <t xml:space="preserve">Model switches</t>
  </si>
  <si>
    <t xml:space="preserve">Tier data source</t>
  </si>
  <si>
    <t xml:space="preserve">PLANNING</t>
  </si>
  <si>
    <t xml:space="preserve">PLANNING or MEASURED. Switch to MEASURED once Capture is filled</t>
  </si>
  <si>
    <t xml:space="preserve">Count hold and IVR time as human time</t>
  </si>
  <si>
    <t xml:space="preserve">YES</t>
  </si>
  <si>
    <t xml:space="preserve">YES if a worker waits on hold. NO models the case where the system dials, navigates the IVR and holds, handing the worker a connected call</t>
  </si>
  <si>
    <t xml:space="preserve">Planning assumptions (used when source is PLANNING)</t>
  </si>
  <si>
    <t xml:space="preserve">Tier</t>
  </si>
  <si>
    <t xml:space="preserve">Share</t>
  </si>
  <si>
    <t xml:space="preserve">Human minutes per task</t>
  </si>
  <si>
    <t xml:space="preserve">AI-only</t>
  </si>
  <si>
    <t xml:space="preserve">Assisted</t>
  </si>
  <si>
    <t xml:space="preserve">Human-led</t>
  </si>
  <si>
    <t xml:space="preserve">Blended input tokens per task</t>
  </si>
  <si>
    <t xml:space="preserve">Planning figure until Capture is filled</t>
  </si>
  <si>
    <t xml:space="preserve">Blended output tokens per task</t>
  </si>
  <si>
    <t xml:space="preserve">Other cost lines</t>
  </si>
  <si>
    <t xml:space="preserve">Make-good reserve (share of revenue)</t>
  </si>
  <si>
    <t xml:space="preserve">Provision for putting a failed task right</t>
  </si>
  <si>
    <t xml:space="preserve">Fixed monthly overhead (INR)</t>
  </si>
  <si>
    <t xml:space="preserve">Space, connectivity, tooling. Set to 0 for a home-floor start</t>
  </si>
  <si>
    <t xml:space="preserve">Task capture</t>
  </si>
  <si>
    <t xml:space="preserve">One row per task. Fill columns A to P; Q to T compute. Observed tier must be one of: AI-only, Assisted, Human-led, Bounced, Failed. Row 4 is a worked example, overwrite or delete it.</t>
  </si>
  <si>
    <t xml:space="preserve">Task ID</t>
  </si>
  <si>
    <t xml:space="preserve">Task</t>
  </si>
  <si>
    <t xml:space="preserve">Category</t>
  </si>
  <si>
    <t xml:space="preserve">Expected tier</t>
  </si>
  <si>
    <t xml:space="preserve">Acceptance artifact</t>
  </si>
  <si>
    <t xml:space="preserve">Runs attempted</t>
  </si>
  <si>
    <t xml:space="preserve">AI-only completions</t>
  </si>
  <si>
    <t xml:space="preserve">Bounced to user</t>
  </si>
  <si>
    <t xml:space="preserve">Failed</t>
  </si>
  <si>
    <t xml:space="preserve">Input tokens (avg per run)</t>
  </si>
  <si>
    <t xml:space="preserve">Output tokens (avg per run)</t>
  </si>
  <si>
    <t xml:space="preserve">Human active min</t>
  </si>
  <si>
    <t xml:space="preserve">Wrap min</t>
  </si>
  <si>
    <t xml:space="preserve">Hold / IVR min</t>
  </si>
  <si>
    <t xml:space="preserve">Observed tier</t>
  </si>
  <si>
    <t xml:space="preserve">Notes</t>
  </si>
  <si>
    <t xml:space="preserve">Human min per run</t>
  </si>
  <si>
    <t xml:space="preserve">Human min x runs</t>
  </si>
  <si>
    <t xml:space="preserve">Token USD per run</t>
  </si>
  <si>
    <t xml:space="preserve">Token USD x runs</t>
  </si>
  <si>
    <t xml:space="preserve">EXAMPLE</t>
  </si>
  <si>
    <t xml:space="preserve">Book a table for two, Saturday 8pm, Koramangala</t>
  </si>
  <si>
    <t xml:space="preserve">Dining</t>
  </si>
  <si>
    <t xml:space="preserve">Confirmation SMS or booking reference</t>
  </si>
  <si>
    <t xml:space="preserve">Two of three needed a call; one restaurant took an online booking</t>
  </si>
  <si>
    <t xml:space="preserve">T01</t>
  </si>
  <si>
    <t xml:space="preserve">Restaurant shortlist for a date night, with reasons</t>
  </si>
  <si>
    <t xml:space="preserve">Three named options with rationale</t>
  </si>
  <si>
    <t xml:space="preserve">T02</t>
  </si>
  <si>
    <t xml:space="preserve">Compare three mobile plans and recommend one</t>
  </si>
  <si>
    <t xml:space="preserve">Purchase research</t>
  </si>
  <si>
    <t xml:space="preserve">Written recommendation with price comparison</t>
  </si>
  <si>
    <t xml:space="preserve">T03</t>
  </si>
  <si>
    <t xml:space="preserve">Categorise last month's spending and flag anomalies</t>
  </si>
  <si>
    <t xml:space="preserve">Money admin</t>
  </si>
  <si>
    <t xml:space="preserve">Category breakdown the user confirms as correct</t>
  </si>
  <si>
    <t xml:space="preserve">T04</t>
  </si>
  <si>
    <t xml:space="preserve">Research an air purifier under a stated budget</t>
  </si>
  <si>
    <t xml:space="preserve">Shortlist with specification comparison</t>
  </si>
  <si>
    <t xml:space="preserve">T05</t>
  </si>
  <si>
    <t xml:space="preserve">Gift options for a named occasion and relationship</t>
  </si>
  <si>
    <t xml:space="preserve">Shopping</t>
  </si>
  <si>
    <t xml:space="preserve">Three options within budget, available to order</t>
  </si>
  <si>
    <t xml:space="preserve">T06</t>
  </si>
  <si>
    <t xml:space="preserve">Draft a complaint to an airline over a delay</t>
  </si>
  <si>
    <t xml:space="preserve">Correspondence</t>
  </si>
  <si>
    <t xml:space="preserve">Sent-ready draft with claim reference to the right address</t>
  </si>
  <si>
    <t xml:space="preserve">T07</t>
  </si>
  <si>
    <t xml:space="preserve">Plan a Saturday outing, three variants by budget</t>
  </si>
  <si>
    <t xml:space="preserve">Leisure</t>
  </si>
  <si>
    <t xml:space="preserve">Itinerary with timings and costs</t>
  </si>
  <si>
    <t xml:space="preserve">T08</t>
  </si>
  <si>
    <t xml:space="preserve">Visa requirement and document checklist for a destination</t>
  </si>
  <si>
    <t xml:space="preserve">Travel</t>
  </si>
  <si>
    <t xml:space="preserve">Checklist verified against the official source</t>
  </si>
  <si>
    <t xml:space="preserve">T09</t>
  </si>
  <si>
    <t xml:space="preserve">Explain an insurance policy document and list exclusions</t>
  </si>
  <si>
    <t xml:space="preserve">Insurance</t>
  </si>
  <si>
    <t xml:space="preserve">Summary the user confirms matches the policy</t>
  </si>
  <si>
    <t xml:space="preserve">T10</t>
  </si>
  <si>
    <t xml:space="preserve">Flight and hotel shortlist for stated dates and budget</t>
  </si>
  <si>
    <t xml:space="preserve">Three costed options, availability confirmed</t>
  </si>
  <si>
    <t xml:space="preserve">T11</t>
  </si>
  <si>
    <t xml:space="preserve">Reserve a table where the venue takes phone bookings only</t>
  </si>
  <si>
    <t xml:space="preserve">Booking reference or confirmed name and time</t>
  </si>
  <si>
    <t xml:space="preserve">T12</t>
  </si>
  <si>
    <t xml:space="preserve">Book a dentist appointment in a stated window</t>
  </si>
  <si>
    <t xml:space="preserve">Health admin</t>
  </si>
  <si>
    <t xml:space="preserve">Confirmed appointment slot</t>
  </si>
  <si>
    <t xml:space="preserve">T13</t>
  </si>
  <si>
    <t xml:space="preserve">Arrange a return with home pickup</t>
  </si>
  <si>
    <t xml:space="preserve">Pickup scheduled with reference number</t>
  </si>
  <si>
    <t xml:space="preserve">T14</t>
  </si>
  <si>
    <t xml:space="preserve">Reschedule a delivery to a stated date</t>
  </si>
  <si>
    <t xml:space="preserve">Revised delivery date confirmed by the carrier</t>
  </si>
  <si>
    <t xml:space="preserve">T15</t>
  </si>
  <si>
    <t xml:space="preserve">Chase a refund that is past its stated window</t>
  </si>
  <si>
    <t xml:space="preserve">Ticket escalated with a committed date</t>
  </si>
  <si>
    <t xml:space="preserve">T16</t>
  </si>
  <si>
    <t xml:space="preserve">Book an airport transfer for a specific flight</t>
  </si>
  <si>
    <t xml:space="preserve">Booking confirmed with driver allocation</t>
  </si>
  <si>
    <t xml:space="preserve">T17</t>
  </si>
  <si>
    <t xml:space="preserve">Schedule three rental viewings with brokers</t>
  </si>
  <si>
    <t xml:space="preserve">Housing</t>
  </si>
  <si>
    <t xml:space="preserve">Three viewings in the diary</t>
  </si>
  <si>
    <t xml:space="preserve">T18</t>
  </si>
  <si>
    <t xml:space="preserve">Cancel a subscription with a retention call flow</t>
  </si>
  <si>
    <t xml:space="preserve">Cancellation reference</t>
  </si>
  <si>
    <t xml:space="preserve">T19</t>
  </si>
  <si>
    <t xml:space="preserve">Place a repeat grocery order with substitutions</t>
  </si>
  <si>
    <t xml:space="preserve">Order placed, substitutions approved</t>
  </si>
  <si>
    <t xml:space="preserve">T20</t>
  </si>
  <si>
    <t xml:space="preserve">Confirm a booking and register dietary requirements</t>
  </si>
  <si>
    <t xml:space="preserve">Venue confirms the note against the booking</t>
  </si>
  <si>
    <t xml:space="preserve">T21</t>
  </si>
  <si>
    <t xml:space="preserve">Complete a bank KYC refresh on your own account</t>
  </si>
  <si>
    <t xml:space="preserve">Banking</t>
  </si>
  <si>
    <t xml:space="preserve">Bank confirms KYC status updated</t>
  </si>
  <si>
    <t xml:space="preserve">T22</t>
  </si>
  <si>
    <t xml:space="preserve">Passport renewal: form completed and appointment booked</t>
  </si>
  <si>
    <t xml:space="preserve">Identity</t>
  </si>
  <si>
    <t xml:space="preserve">Appointment reference and completed form</t>
  </si>
  <si>
    <t xml:space="preserve">T23</t>
  </si>
  <si>
    <t xml:space="preserve">Visa application pack and appointment slot</t>
  </si>
  <si>
    <t xml:space="preserve">Application reference and booked slot</t>
  </si>
  <si>
    <t xml:space="preserve">T24</t>
  </si>
  <si>
    <t xml:space="preserve">Health insurance claim submission and first follow-up</t>
  </si>
  <si>
    <t xml:space="preserve">Claim number and acknowledged submission</t>
  </si>
  <si>
    <t xml:space="preserve">T25</t>
  </si>
  <si>
    <t xml:space="preserve">Hospital admission coordination for a parent</t>
  </si>
  <si>
    <t xml:space="preserve">Admission booked, estimate obtained</t>
  </si>
  <si>
    <t xml:space="preserve">T26</t>
  </si>
  <si>
    <t xml:space="preserve">Rent agreement registration steps and appointment</t>
  </si>
  <si>
    <t xml:space="preserve">Slot booked, document pack assembled</t>
  </si>
  <si>
    <t xml:space="preserve">T27</t>
  </si>
  <si>
    <t xml:space="preserve">Prepare a response to an income tax notice</t>
  </si>
  <si>
    <t xml:space="preserve">Tax</t>
  </si>
  <si>
    <t xml:space="preserve">Response filed or ready to file with references</t>
  </si>
  <si>
    <t xml:space="preserve">T28</t>
  </si>
  <si>
    <t xml:space="preserve">Pension life certificate or deposit renewal for a parent</t>
  </si>
  <si>
    <t xml:space="preserve">NRI family</t>
  </si>
  <si>
    <t xml:space="preserve">Institution confirms the act is done</t>
  </si>
  <si>
    <t xml:space="preserve">T29</t>
  </si>
  <si>
    <t xml:space="preserve">Replace a lost SIM or port a number</t>
  </si>
  <si>
    <t xml:space="preserve">Telecom</t>
  </si>
  <si>
    <t xml:space="preserve">New SIM active on the same number</t>
  </si>
  <si>
    <t xml:space="preserve">T30</t>
  </si>
  <si>
    <t xml:space="preserve">Change of address across five institutions</t>
  </si>
  <si>
    <t xml:space="preserve">Institutional admin</t>
  </si>
  <si>
    <t xml:space="preserve">All five confirm the new address</t>
  </si>
  <si>
    <t xml:space="preserve">Measured rollup by observed tier</t>
  </si>
  <si>
    <t xml:space="preserve">Computed from Capture. Nothing here is editable. Blank until Capture has data.</t>
  </si>
  <si>
    <t xml:space="preserve">Runs</t>
  </si>
  <si>
    <t xml:space="preserve">Share of runs</t>
  </si>
  <si>
    <t xml:space="preserve">Human min per task</t>
  </si>
  <si>
    <t xml:space="preserve">Token USD per task</t>
  </si>
  <si>
    <t xml:space="preserve">Tasks (of 30)</t>
  </si>
  <si>
    <t xml:space="preserve">Bounced</t>
  </si>
  <si>
    <t xml:space="preserve">Total</t>
  </si>
  <si>
    <t xml:space="preserve">Derived checks</t>
  </si>
  <si>
    <t xml:space="preserve">AI-only completion rate (all runs)</t>
  </si>
  <si>
    <t xml:space="preserve">Bounce rate (share of runs)</t>
  </si>
  <si>
    <t xml:space="preserve">Blended human minutes per task</t>
  </si>
  <si>
    <t xml:space="preserve">Blended token cost per task (USD)</t>
  </si>
  <si>
    <t xml:space="preserve">Headcount and margin</t>
  </si>
  <si>
    <t xml:space="preserve">Everything here is computed. Change Inputs, or fill Capture and switch the source to MEASURED.</t>
  </si>
  <si>
    <t xml:space="preserve">Task mix in force</t>
  </si>
  <si>
    <t xml:space="preserve">Source</t>
  </si>
  <si>
    <t xml:space="preserve">AI-only share</t>
  </si>
  <si>
    <t xml:space="preserve">Assisted share</t>
  </si>
  <si>
    <t xml:space="preserve">Human-led share</t>
  </si>
  <si>
    <t xml:space="preserve">Bounced share</t>
  </si>
  <si>
    <t xml:space="preserve">Little labour, but it is the promise that is spent</t>
  </si>
  <si>
    <t xml:space="preserve">Failed share</t>
  </si>
  <si>
    <t xml:space="preserve">AI-only human minutes</t>
  </si>
  <si>
    <t xml:space="preserve">Assisted human minutes</t>
  </si>
  <si>
    <t xml:space="preserve">Human-led human minutes</t>
  </si>
  <si>
    <t xml:space="preserve">The single number that sets headcount</t>
  </si>
  <si>
    <t xml:space="preserve">Volume and labour</t>
  </si>
  <si>
    <t xml:space="preserve">Tasks per day</t>
  </si>
  <si>
    <t xml:space="preserve">Human minutes required per day</t>
  </si>
  <si>
    <t xml:space="preserve">Effective minutes per head per day</t>
  </si>
  <si>
    <t xml:space="preserve">Productive minutes x utilisation</t>
  </si>
  <si>
    <t xml:space="preserve">Generalists required</t>
  </si>
  <si>
    <t xml:space="preserve">Supervisors required</t>
  </si>
  <si>
    <t xml:space="preserve">Total floor headcount</t>
  </si>
  <si>
    <t xml:space="preserve">Users per generalist</t>
  </si>
  <si>
    <t xml:space="preserve">Compare with the 1:30 assumption</t>
  </si>
  <si>
    <t xml:space="preserve">Monthly profit and loss (INR)</t>
  </si>
  <si>
    <t xml:space="preserve">Revenue</t>
  </si>
  <si>
    <t xml:space="preserve">Generalist cost</t>
  </si>
  <si>
    <t xml:space="preserve">Supervisor cost</t>
  </si>
  <si>
    <t xml:space="preserve">Token cost</t>
  </si>
  <si>
    <t xml:space="preserve">Make-good reserve</t>
  </si>
  <si>
    <t xml:space="preserve">Fixed overhead</t>
  </si>
  <si>
    <t xml:space="preserve">Total cost</t>
  </si>
  <si>
    <t xml:space="preserve">Contribution</t>
  </si>
  <si>
    <t xml:space="preserve">Gross margin</t>
  </si>
  <si>
    <t xml:space="preserve">Per task</t>
  </si>
  <si>
    <t xml:space="preserve">Revenue per task (INR)</t>
  </si>
  <si>
    <t xml:space="preserve">Labour cost per task (INR)</t>
  </si>
  <si>
    <t xml:space="preserve">Token cost per task (INR)</t>
  </si>
  <si>
    <t xml:space="preserve">Total cost per task (INR)</t>
  </si>
  <si>
    <t xml:space="preserve">Sensitivity: gross margin by AI-only share and human-led handling time</t>
  </si>
  <si>
    <t xml:space="preserve">Rows: minutes per human-led task. Columns: AI-only share. Assisted minutes and human-led share held at the values above.</t>
  </si>
  <si>
    <t xml:space="preserve">Human-led min \ AI-only share</t>
  </si>
  <si>
    <t xml:space="preserve">Supervisor cost is approximated in the grid as a uplift on generalist cost.</t>
  </si>
  <si>
    <t xml:space="preserve">36 month trajectory</t>
  </si>
  <si>
    <t xml:space="preserve">Simulates three improvements at once: AI takes a rising share of tasks, humans get faster on what is left, and users grow. Yellow cells are drivers. The monthly grid starts at row 35.</t>
  </si>
  <si>
    <t xml:space="preserve">Growth</t>
  </si>
  <si>
    <t xml:space="preserve">Starting users (month 1)</t>
  </si>
  <si>
    <t xml:space="preserve">Net monthly user growth</t>
  </si>
  <si>
    <t xml:space="preserve">Net of churn</t>
  </si>
  <si>
    <t xml:space="preserve">User ceiling</t>
  </si>
  <si>
    <t xml:space="preserve">Growth flattens here</t>
  </si>
  <si>
    <t xml:space="preserve">Held constant across the run</t>
  </si>
  <si>
    <t xml:space="preserve">AI efficiency</t>
  </si>
  <si>
    <t xml:space="preserve">AI-only share, month 1</t>
  </si>
  <si>
    <t xml:space="preserve">AI-only share ceiling</t>
  </si>
  <si>
    <t xml:space="preserve">Where automation saturates</t>
  </si>
  <si>
    <t xml:space="preserve">Half life of the gap (months)</t>
  </si>
  <si>
    <t xml:space="preserve">Months to close half the distance to the ceiling</t>
  </si>
  <si>
    <t xml:space="preserve">Token cost per task, month 1 (USD)</t>
  </si>
  <si>
    <t xml:space="preserve">Monthly decline in token cost</t>
  </si>
  <si>
    <t xml:space="preserve">6 per cent a month is roughly halving each year</t>
  </si>
  <si>
    <t xml:space="preserve">Human efficiency</t>
  </si>
  <si>
    <t xml:space="preserve">Assisted minutes, month 1</t>
  </si>
  <si>
    <t xml:space="preserve">Assisted minutes floor</t>
  </si>
  <si>
    <t xml:space="preserve">Where practice stops paying</t>
  </si>
  <si>
    <t xml:space="preserve">Human-led minutes, month 1</t>
  </si>
  <si>
    <t xml:space="preserve">Human-led minutes floor</t>
  </si>
  <si>
    <t xml:space="preserve">Learning curve speed</t>
  </si>
  <si>
    <t xml:space="preserve">Human-led share, month 1</t>
  </si>
  <si>
    <t xml:space="preserve">Human-led share floor</t>
  </si>
  <si>
    <t xml:space="preserve">Set equal to month 1 to hold it constant</t>
  </si>
  <si>
    <t xml:space="preserve">Costs and price</t>
  </si>
  <si>
    <t xml:space="preserve">Blended price per user (USD per month)</t>
  </si>
  <si>
    <t xml:space="preserve">Change to test pricing</t>
  </si>
  <si>
    <t xml:space="preserve">Annual wage inflation</t>
  </si>
  <si>
    <t xml:space="preserve">Applied to generalists and supervisors</t>
  </si>
  <si>
    <t xml:space="preserve">Engineering and G and A, month 1 (INR)</t>
  </si>
  <si>
    <t xml:space="preserve">Founders, engineers, counsel, marketing</t>
  </si>
  <si>
    <t xml:space="preserve">Monthly growth in that line</t>
  </si>
  <si>
    <t xml:space="preserve">Seat cost per floor head per month (INR)</t>
  </si>
  <si>
    <t xml:space="preserve">Space, connectivity, device</t>
  </si>
  <si>
    <t xml:space="preserve">Monthly grid</t>
  </si>
  <si>
    <t xml:space="preserve">Month</t>
  </si>
  <si>
    <t xml:space="preserve">Users</t>
  </si>
  <si>
    <t xml:space="preserve">Assisted minutes</t>
  </si>
  <si>
    <t xml:space="preserve">Human-led minutes</t>
  </si>
  <si>
    <t xml:space="preserve">Human minutes per day</t>
  </si>
  <si>
    <t xml:space="preserve">Generalists</t>
  </si>
  <si>
    <t xml:space="preserve">Supervisors</t>
  </si>
  <si>
    <t xml:space="preserve">Wage index</t>
  </si>
  <si>
    <t xml:space="preserve">Labour cost (INR)</t>
  </si>
  <si>
    <t xml:space="preserve">Token cost per task (USD)</t>
  </si>
  <si>
    <t xml:space="preserve">Token cost (INR)</t>
  </si>
  <si>
    <t xml:space="preserve">Engineering and G and A (INR)</t>
  </si>
  <si>
    <t xml:space="preserve">Seat overhead (INR)</t>
  </si>
  <si>
    <t xml:space="preserve">Make-good (INR)</t>
  </si>
  <si>
    <t xml:space="preserve">Total cost (INR)</t>
  </si>
  <si>
    <t xml:space="preserve">Revenue (INR)</t>
  </si>
  <si>
    <t xml:space="preserve">Contribution (INR)</t>
  </si>
  <si>
    <t xml:space="preserve">Cumulative contribution (INR)</t>
  </si>
  <si>
    <t xml:space="preserve">Margin</t>
  </si>
  <si>
    <t xml:space="preserve">(helper: month index if profitable)</t>
  </si>
  <si>
    <t xml:space="preserve">Summary</t>
  </si>
  <si>
    <t xml:space="preserve">First profitable month</t>
  </si>
  <si>
    <t xml:space="preserve">0 means never within 36 months</t>
  </si>
  <si>
    <t xml:space="preserve">Users at that month</t>
  </si>
  <si>
    <t xml:space="preserve">Peak cash requirement (INR)</t>
  </si>
  <si>
    <t xml:space="preserve">Cumulative deficit at its worst point</t>
  </si>
  <si>
    <t xml:space="preserve">Peak cash requirement (USD)</t>
  </si>
  <si>
    <t xml:space="preserve">Month 36 users</t>
  </si>
  <si>
    <t xml:space="preserve">Month 36 floor headcount</t>
  </si>
  <si>
    <t xml:space="preserve">Month 36 users per generalist</t>
  </si>
  <si>
    <t xml:space="preserve">Month 36 monthly contribution (INR)</t>
  </si>
  <si>
    <t xml:space="preserve">Month 36 margin</t>
  </si>
</sst>
</file>

<file path=xl/styles.xml><?xml version="1.0" encoding="utf-8"?>
<styleSheet xmlns="http://schemas.openxmlformats.org/spreadsheetml/2006/main">
  <numFmts count="14">
    <numFmt numFmtId="164" formatCode="General"/>
    <numFmt numFmtId="165" formatCode="#,##0;\(#,##0\);\-"/>
    <numFmt numFmtId="166" formatCode="0.0;\(0.0\);\-"/>
    <numFmt numFmtId="167" formatCode="\$#,##0;&quot;($&quot;#,##0\);\-"/>
    <numFmt numFmtId="168" formatCode="0.0%;\(0.0%\);\-"/>
    <numFmt numFmtId="169" formatCode="\$#,##0.00;&quot;($&quot;#,##0.00\);\-"/>
    <numFmt numFmtId="170" formatCode="\₹#,##0;&quot;(₹&quot;#,##0\);\-"/>
    <numFmt numFmtId="171" formatCode="\₹#,##0.00;&quot;(₹&quot;#,##0.00\);\-"/>
    <numFmt numFmtId="172" formatCode="#,##0;\(#,##0\);\-"/>
    <numFmt numFmtId="173" formatCode="0.0%;\(0.0%\);\-"/>
    <numFmt numFmtId="174" formatCode="0.0;\(0.0\);\-"/>
    <numFmt numFmtId="175" formatCode="\$#,##0.00;&quot;($&quot;#,##0.00\);\-"/>
    <numFmt numFmtId="176" formatCode="\₹#,##0;&quot;(₹&quot;#,##0\);\-"/>
    <numFmt numFmtId="177" formatCode="\$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9"/>
      <name val="Arial"/>
      <family val="0"/>
      <charset val="1"/>
    </font>
    <font>
      <b val="true"/>
      <sz val="9"/>
      <name val="Arial"/>
      <family val="0"/>
      <charset val="1"/>
    </font>
    <font>
      <sz val="8"/>
      <color rgb="FFBFBFB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404040"/>
        <bgColor rgb="FF333300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6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0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5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1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contribution (INR)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Trajectory!$C$35:$AL$35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Trajectory!$C$57:$AL$57</c:f>
              <c:numCache>
                <c:formatCode>\₹#,##0;"(₹"#,##0\);\-</c:formatCode>
                <c:ptCount val="36"/>
                <c:pt idx="0">
                  <c:v>-2546760</c:v>
                </c:pt>
                <c:pt idx="1">
                  <c:v>-2591333.78541975</c:v>
                </c:pt>
                <c:pt idx="2">
                  <c:v>-2575849.13643191</c:v>
                </c:pt>
                <c:pt idx="3">
                  <c:v>-2606389.13351529</c:v>
                </c:pt>
                <c:pt idx="4">
                  <c:v>-2628469.21773075</c:v>
                </c:pt>
                <c:pt idx="5">
                  <c:v>-2768210.81266336</c:v>
                </c:pt>
                <c:pt idx="6">
                  <c:v>-2770311.49230644</c:v>
                </c:pt>
                <c:pt idx="7">
                  <c:v>-2759665.69504904</c:v>
                </c:pt>
                <c:pt idx="8">
                  <c:v>-2734470.9647394</c:v>
                </c:pt>
                <c:pt idx="9">
                  <c:v>-2749039.16015258</c:v>
                </c:pt>
                <c:pt idx="10">
                  <c:v>-2688800.1336541</c:v>
                </c:pt>
                <c:pt idx="11">
                  <c:v>-2797125.10281503</c:v>
                </c:pt>
                <c:pt idx="12">
                  <c:v>-2750016.51141418</c:v>
                </c:pt>
                <c:pt idx="13">
                  <c:v>-2676187.98420374</c:v>
                </c:pt>
                <c:pt idx="14">
                  <c:v>-2707713.6552252</c:v>
                </c:pt>
                <c:pt idx="15">
                  <c:v>-2570102.31655357</c:v>
                </c:pt>
                <c:pt idx="16">
                  <c:v>-2452623.06606688</c:v>
                </c:pt>
                <c:pt idx="17">
                  <c:v>-2430457.14032886</c:v>
                </c:pt>
                <c:pt idx="18">
                  <c:v>-2221678.70219521</c:v>
                </c:pt>
                <c:pt idx="19">
                  <c:v>-2158311.56924479</c:v>
                </c:pt>
                <c:pt idx="20">
                  <c:v>-2035082.9707674</c:v>
                </c:pt>
                <c:pt idx="21">
                  <c:v>-1701379.65300161</c:v>
                </c:pt>
                <c:pt idx="22">
                  <c:v>-1493752.01212994</c:v>
                </c:pt>
                <c:pt idx="23">
                  <c:v>-1261755.69367384</c:v>
                </c:pt>
                <c:pt idx="24">
                  <c:v>-932853.365478979</c:v>
                </c:pt>
                <c:pt idx="25">
                  <c:v>-557089.271951709</c:v>
                </c:pt>
                <c:pt idx="26">
                  <c:v>-58145.8220929708</c:v>
                </c:pt>
                <c:pt idx="27">
                  <c:v>452662.850543439</c:v>
                </c:pt>
                <c:pt idx="28">
                  <c:v>1119023.59463774</c:v>
                </c:pt>
                <c:pt idx="29">
                  <c:v>1681210.21984607</c:v>
                </c:pt>
                <c:pt idx="30">
                  <c:v>2437922.44436271</c:v>
                </c:pt>
                <c:pt idx="31">
                  <c:v>3283600.6807863</c:v>
                </c:pt>
                <c:pt idx="32">
                  <c:v>4309918.65206812</c:v>
                </c:pt>
                <c:pt idx="33">
                  <c:v>5481034.72050341</c:v>
                </c:pt>
                <c:pt idx="34">
                  <c:v>6673768.99827422</c:v>
                </c:pt>
                <c:pt idx="35">
                  <c:v>8079401.56441283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8300899"/>
        <c:axId val="14745901"/>
      </c:lineChart>
      <c:catAx>
        <c:axId val="88300899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4745901"/>
        <c:crosses val="autoZero"/>
        <c:auto val="1"/>
        <c:lblAlgn val="ctr"/>
        <c:lblOffset val="100"/>
        <c:noMultiLvlLbl val="0"/>
      </c:catAx>
      <c:valAx>
        <c:axId val="1474590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\₹#,##0;&quot;(₹&quot;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30089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Users per generalist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ffffff"/>
            </a:solidFill>
            <a:ln w="0">
              <a:solidFill>
                <a:srgbClr val="ffffff"/>
              </a:solidFill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Trajectory!$C$35:$AL$35</c:f>
              <c:strCache>
                <c:ptCount val="3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</c:strCache>
            </c:strRef>
          </c:cat>
          <c:val>
            <c:numRef>
              <c:f>Trajectory!$C$47:$AL$47</c:f>
              <c:numCache>
                <c:formatCode>0.0;\(0.0\);\-</c:formatCode>
                <c:ptCount val="36"/>
                <c:pt idx="0">
                  <c:v>25</c:v>
                </c:pt>
                <c:pt idx="1">
                  <c:v>25.4545454545455</c:v>
                </c:pt>
                <c:pt idx="2">
                  <c:v>28.5090909090909</c:v>
                </c:pt>
                <c:pt idx="3">
                  <c:v>29.2693333333333</c:v>
                </c:pt>
                <c:pt idx="4">
                  <c:v>30.2599876923077</c:v>
                </c:pt>
                <c:pt idx="5">
                  <c:v>31.4703872</c:v>
                </c:pt>
                <c:pt idx="6">
                  <c:v>32.8970447530667</c:v>
                </c:pt>
                <c:pt idx="7">
                  <c:v>34.54189699072</c:v>
                </c:pt>
                <c:pt idx="8">
                  <c:v>36.4112231808061</c:v>
                </c:pt>
                <c:pt idx="9">
                  <c:v>36.4878783875025</c:v>
                </c:pt>
                <c:pt idx="10">
                  <c:v>38.8231026043027</c:v>
                </c:pt>
                <c:pt idx="11">
                  <c:v>39.5289771971082</c:v>
                </c:pt>
                <c:pt idx="12">
                  <c:v>40.5830832556977</c:v>
                </c:pt>
                <c:pt idx="13">
                  <c:v>41.9566645351213</c:v>
                </c:pt>
                <c:pt idx="14">
                  <c:v>43.6349311165262</c:v>
                </c:pt>
                <c:pt idx="15">
                  <c:v>45.6130479938087</c:v>
                </c:pt>
                <c:pt idx="16">
                  <c:v>46.4423761391507</c:v>
                </c:pt>
                <c:pt idx="17">
                  <c:v>47.6808395028614</c:v>
                </c:pt>
                <c:pt idx="18">
                  <c:v>49.294652532189</c:v>
                </c:pt>
                <c:pt idx="19">
                  <c:v>50.0741958745585</c:v>
                </c:pt>
                <c:pt idx="20">
                  <c:v>51.3100696450795</c:v>
                </c:pt>
                <c:pt idx="21">
                  <c:v>52.9600405120978</c:v>
                </c:pt>
                <c:pt idx="22">
                  <c:v>54.0192413223397</c:v>
                </c:pt>
                <c:pt idx="23">
                  <c:v>54.6465615441476</c:v>
                </c:pt>
                <c:pt idx="24">
                  <c:v>55.8037828474354</c:v>
                </c:pt>
                <c:pt idx="25">
                  <c:v>56.6668813554757</c:v>
                </c:pt>
                <c:pt idx="26">
                  <c:v>58.0490004129264</c:v>
                </c:pt>
                <c:pt idx="27">
                  <c:v>58.5848373398149</c:v>
                </c:pt>
                <c:pt idx="28">
                  <c:v>59.7096662167394</c:v>
                </c:pt>
                <c:pt idx="29">
                  <c:v>60.2475911376109</c:v>
                </c:pt>
                <c:pt idx="30">
                  <c:v>61.393283034654</c:v>
                </c:pt>
                <c:pt idx="31">
                  <c:v>62.1390977322602</c:v>
                </c:pt>
                <c:pt idx="32">
                  <c:v>63.0565877658909</c:v>
                </c:pt>
                <c:pt idx="33">
                  <c:v>63.7750507052841</c:v>
                </c:pt>
                <c:pt idx="34">
                  <c:v>64.4023462859918</c:v>
                </c:pt>
                <c:pt idx="35">
                  <c:v>65.0241620432359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75586698"/>
        <c:axId val="56472795"/>
      </c:lineChart>
      <c:catAx>
        <c:axId val="75586698"/>
        <c:scaling>
          <c:orientation val="minMax"/>
        </c:scaling>
        <c:delete val="0"/>
        <c:axPos val="b"/>
        <c:numFmt formatCode="#,##0;\(#,##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6472795"/>
        <c:crosses val="autoZero"/>
        <c:auto val="1"/>
        <c:lblAlgn val="ctr"/>
        <c:lblOffset val="100"/>
        <c:noMultiLvlLbl val="0"/>
      </c:catAx>
      <c:valAx>
        <c:axId val="56472795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;\(0.0\);\-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866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72</xdr:row>
      <xdr:rowOff>175680</xdr:rowOff>
    </xdr:from>
    <xdr:to>
      <xdr:col>9</xdr:col>
      <xdr:colOff>251640</xdr:colOff>
      <xdr:row>88</xdr:row>
      <xdr:rowOff>7560</xdr:rowOff>
    </xdr:to>
    <xdr:graphicFrame>
      <xdr:nvGraphicFramePr>
        <xdr:cNvPr id="0" name="Chart 1"/>
        <xdr:cNvGraphicFramePr/>
      </xdr:nvGraphicFramePr>
      <xdr:xfrm>
        <a:off x="211320" y="1390644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90</xdr:row>
      <xdr:rowOff>175680</xdr:rowOff>
    </xdr:from>
    <xdr:to>
      <xdr:col>9</xdr:col>
      <xdr:colOff>251640</xdr:colOff>
      <xdr:row>106</xdr:row>
      <xdr:rowOff>7560</xdr:rowOff>
    </xdr:to>
    <xdr:graphicFrame>
      <xdr:nvGraphicFramePr>
        <xdr:cNvPr id="1" name="Chart 2"/>
        <xdr:cNvGraphicFramePr/>
      </xdr:nvGraphicFramePr>
      <xdr:xfrm>
        <a:off x="211320" y="17335440"/>
        <a:ext cx="863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108"/>
  </cols>
  <sheetData>
    <row r="1" customFormat="false" ht="15.75" hidden="false" customHeight="true" outlineLevel="0" collapsed="false">
      <c r="B1" s="2" t="s">
        <v>0</v>
      </c>
    </row>
    <row r="2" customFormat="false" ht="15" hidden="false" customHeight="true" outlineLevel="0" collapsed="false">
      <c r="B2" s="3"/>
    </row>
    <row r="3" customFormat="false" ht="30" hidden="false" customHeight="true" outlineLevel="0" collapsed="false">
      <c r="B3" s="3" t="s">
        <v>1</v>
      </c>
    </row>
    <row r="4" customFormat="false" ht="15" hidden="false" customHeight="true" outlineLevel="0" collapsed="false">
      <c r="B4" s="3"/>
    </row>
    <row r="5" customFormat="false" ht="15" hidden="false" customHeight="true" outlineLevel="0" collapsed="false">
      <c r="B5" s="4" t="s">
        <v>2</v>
      </c>
    </row>
    <row r="6" customFormat="false" ht="15" hidden="false" customHeight="true" outlineLevel="0" collapsed="false">
      <c r="B6" s="3" t="s">
        <v>3</v>
      </c>
    </row>
    <row r="7" customFormat="false" ht="15" hidden="false" customHeight="true" outlineLevel="0" collapsed="false">
      <c r="B7" s="3" t="s">
        <v>4</v>
      </c>
    </row>
    <row r="8" customFormat="false" ht="15" hidden="false" customHeight="true" outlineLevel="0" collapsed="false">
      <c r="B8" s="3" t="s">
        <v>5</v>
      </c>
    </row>
    <row r="9" customFormat="false" ht="30" hidden="false" customHeight="true" outlineLevel="0" collapsed="false">
      <c r="B9" s="3" t="s">
        <v>6</v>
      </c>
    </row>
    <row r="10" customFormat="false" ht="30" hidden="false" customHeight="true" outlineLevel="0" collapsed="false">
      <c r="B10" s="3" t="s">
        <v>7</v>
      </c>
    </row>
    <row r="11" customFormat="false" ht="15" hidden="false" customHeight="true" outlineLevel="0" collapsed="false">
      <c r="B11" s="3"/>
    </row>
    <row r="12" customFormat="false" ht="15" hidden="false" customHeight="true" outlineLevel="0" collapsed="false">
      <c r="B12" s="4" t="s">
        <v>8</v>
      </c>
    </row>
    <row r="13" customFormat="false" ht="15" hidden="false" customHeight="true" outlineLevel="0" collapsed="false">
      <c r="B13" s="3" t="s">
        <v>9</v>
      </c>
    </row>
    <row r="14" customFormat="false" ht="15" hidden="false" customHeight="true" outlineLevel="0" collapsed="false">
      <c r="B14" s="3"/>
    </row>
    <row r="15" customFormat="false" ht="15" hidden="false" customHeight="true" outlineLevel="0" collapsed="false">
      <c r="B15" s="4" t="s">
        <v>10</v>
      </c>
    </row>
    <row r="16" customFormat="false" ht="30" hidden="false" customHeight="true" outlineLevel="0" collapsed="false">
      <c r="B16" s="3" t="s">
        <v>11</v>
      </c>
    </row>
    <row r="17" customFormat="false" ht="15" hidden="false" customHeight="true" outlineLevel="0" collapsed="false">
      <c r="B17" s="3"/>
    </row>
    <row r="18" customFormat="false" ht="15" hidden="false" customHeight="true" outlineLevel="0" collapsed="false">
      <c r="B18" s="4" t="s">
        <v>12</v>
      </c>
    </row>
    <row r="19" customFormat="false" ht="30" hidden="false" customHeight="true" outlineLevel="0" collapsed="false">
      <c r="B19" s="3" t="s">
        <v>13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E4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6"/>
    <col collapsed="false" customWidth="true" hidden="false" outlineLevel="0" max="3" min="3" style="1" width="14"/>
    <col collapsed="false" customWidth="true" hidden="false" outlineLevel="0" max="4" min="4" style="1" width="52"/>
  </cols>
  <sheetData>
    <row r="1" customFormat="false" ht="15.75" hidden="false" customHeight="true" outlineLevel="0" collapsed="false">
      <c r="B1" s="2" t="s">
        <v>14</v>
      </c>
    </row>
    <row r="2" customFormat="false" ht="15" hidden="false" customHeight="true" outlineLevel="0" collapsed="false">
      <c r="B2" s="5" t="s">
        <v>15</v>
      </c>
    </row>
    <row r="4" customFormat="false" ht="15" hidden="false" customHeight="true" outlineLevel="0" collapsed="false">
      <c r="B4" s="6" t="s">
        <v>16</v>
      </c>
      <c r="C4" s="7"/>
      <c r="D4" s="7"/>
      <c r="E4" s="7"/>
    </row>
    <row r="5" customFormat="false" ht="15" hidden="false" customHeight="true" outlineLevel="0" collapsed="false">
      <c r="B5" s="8" t="s">
        <v>17</v>
      </c>
      <c r="C5" s="9" t="n">
        <v>1000</v>
      </c>
      <c r="D5" s="10" t="s">
        <v>18</v>
      </c>
    </row>
    <row r="6" customFormat="false" ht="15" hidden="false" customHeight="true" outlineLevel="0" collapsed="false">
      <c r="B6" s="8" t="s">
        <v>19</v>
      </c>
      <c r="C6" s="11" t="n">
        <v>2</v>
      </c>
      <c r="D6" s="10" t="s">
        <v>20</v>
      </c>
    </row>
    <row r="7" customFormat="false" ht="15" hidden="false" customHeight="true" outlineLevel="0" collapsed="false">
      <c r="B7" s="8" t="s">
        <v>21</v>
      </c>
      <c r="C7" s="9" t="n">
        <v>30</v>
      </c>
      <c r="D7" s="10" t="s">
        <v>22</v>
      </c>
    </row>
    <row r="8" customFormat="false" ht="15" hidden="false" customHeight="true" outlineLevel="0" collapsed="false">
      <c r="B8" s="12" t="s">
        <v>23</v>
      </c>
      <c r="C8" s="13" t="n">
        <f aca="false">C5*C6</f>
        <v>2000</v>
      </c>
      <c r="D8" s="14" t="s">
        <v>24</v>
      </c>
    </row>
    <row r="10" customFormat="false" ht="15" hidden="false" customHeight="true" outlineLevel="0" collapsed="false">
      <c r="B10" s="6" t="s">
        <v>25</v>
      </c>
      <c r="C10" s="7"/>
      <c r="D10" s="7"/>
      <c r="E10" s="7"/>
    </row>
    <row r="11" customFormat="false" ht="15" hidden="false" customHeight="true" outlineLevel="0" collapsed="false">
      <c r="B11" s="8" t="s">
        <v>26</v>
      </c>
      <c r="C11" s="15" t="n">
        <v>20</v>
      </c>
      <c r="D11" s="10" t="s">
        <v>27</v>
      </c>
    </row>
    <row r="12" customFormat="false" ht="15" hidden="false" customHeight="true" outlineLevel="0" collapsed="false">
      <c r="B12" s="8" t="s">
        <v>28</v>
      </c>
      <c r="C12" s="16" t="n">
        <v>0.7</v>
      </c>
      <c r="D12" s="10"/>
    </row>
    <row r="13" customFormat="false" ht="15" hidden="false" customHeight="true" outlineLevel="0" collapsed="false">
      <c r="B13" s="8" t="s">
        <v>29</v>
      </c>
      <c r="C13" s="15" t="n">
        <v>40</v>
      </c>
      <c r="D13" s="10" t="s">
        <v>30</v>
      </c>
    </row>
    <row r="14" customFormat="false" ht="15" hidden="false" customHeight="true" outlineLevel="0" collapsed="false">
      <c r="B14" s="8" t="s">
        <v>31</v>
      </c>
      <c r="C14" s="16" t="n">
        <v>0.25</v>
      </c>
      <c r="D14" s="10"/>
    </row>
    <row r="15" customFormat="false" ht="15" hidden="false" customHeight="true" outlineLevel="0" collapsed="false">
      <c r="B15" s="8" t="s">
        <v>32</v>
      </c>
      <c r="C15" s="15" t="n">
        <v>100</v>
      </c>
      <c r="D15" s="10" t="s">
        <v>33</v>
      </c>
    </row>
    <row r="16" customFormat="false" ht="15" hidden="false" customHeight="true" outlineLevel="0" collapsed="false">
      <c r="B16" s="8" t="s">
        <v>34</v>
      </c>
      <c r="C16" s="16" t="n">
        <v>0.05</v>
      </c>
      <c r="D16" s="10" t="s">
        <v>35</v>
      </c>
    </row>
    <row r="17" customFormat="false" ht="15" hidden="false" customHeight="true" outlineLevel="0" collapsed="false">
      <c r="B17" s="12" t="s">
        <v>36</v>
      </c>
      <c r="C17" s="17" t="n">
        <f aca="false">C11*C12+C13*C14+C15*C16</f>
        <v>29</v>
      </c>
    </row>
    <row r="18" customFormat="false" ht="15" hidden="false" customHeight="true" outlineLevel="0" collapsed="false">
      <c r="B18" s="12" t="s">
        <v>37</v>
      </c>
      <c r="C18" s="18" t="n">
        <f aca="false">C12+C14+C16</f>
        <v>1</v>
      </c>
    </row>
    <row r="19" customFormat="false" ht="15" hidden="false" customHeight="true" outlineLevel="0" collapsed="false">
      <c r="B19" s="8" t="s">
        <v>38</v>
      </c>
      <c r="C19" s="11" t="n">
        <v>88</v>
      </c>
      <c r="D19" s="10" t="s">
        <v>39</v>
      </c>
    </row>
    <row r="21" customFormat="false" ht="15" hidden="false" customHeight="true" outlineLevel="0" collapsed="false">
      <c r="B21" s="6" t="s">
        <v>40</v>
      </c>
      <c r="C21" s="7"/>
      <c r="D21" s="7"/>
      <c r="E21" s="7"/>
    </row>
    <row r="22" customFormat="false" ht="15" hidden="false" customHeight="true" outlineLevel="0" collapsed="false">
      <c r="B22" s="8" t="s">
        <v>41</v>
      </c>
      <c r="C22" s="19" t="n">
        <v>500000</v>
      </c>
      <c r="D22" s="10" t="s">
        <v>42</v>
      </c>
    </row>
    <row r="23" customFormat="false" ht="15" hidden="false" customHeight="true" outlineLevel="0" collapsed="false">
      <c r="B23" s="8" t="s">
        <v>43</v>
      </c>
      <c r="C23" s="16" t="n">
        <v>0.2</v>
      </c>
      <c r="D23" s="10" t="s">
        <v>44</v>
      </c>
    </row>
    <row r="24" customFormat="false" ht="15" hidden="false" customHeight="true" outlineLevel="0" collapsed="false">
      <c r="B24" s="8" t="s">
        <v>45</v>
      </c>
      <c r="C24" s="9" t="n">
        <v>390</v>
      </c>
      <c r="D24" s="10" t="s">
        <v>46</v>
      </c>
    </row>
    <row r="25" customFormat="false" ht="15" hidden="false" customHeight="true" outlineLevel="0" collapsed="false">
      <c r="B25" s="8" t="s">
        <v>47</v>
      </c>
      <c r="C25" s="16" t="n">
        <v>0.7</v>
      </c>
      <c r="D25" s="10" t="s">
        <v>48</v>
      </c>
    </row>
    <row r="26" customFormat="false" ht="15" hidden="false" customHeight="true" outlineLevel="0" collapsed="false">
      <c r="B26" s="8" t="s">
        <v>49</v>
      </c>
      <c r="C26" s="16" t="n">
        <v>0.15</v>
      </c>
      <c r="D26" s="10" t="s">
        <v>50</v>
      </c>
    </row>
    <row r="27" customFormat="false" ht="15" hidden="false" customHeight="true" outlineLevel="0" collapsed="false">
      <c r="B27" s="8" t="s">
        <v>51</v>
      </c>
      <c r="C27" s="19" t="n">
        <v>1200000</v>
      </c>
      <c r="D27" s="10"/>
    </row>
    <row r="29" customFormat="false" ht="15" hidden="false" customHeight="true" outlineLevel="0" collapsed="false">
      <c r="B29" s="6" t="s">
        <v>52</v>
      </c>
      <c r="C29" s="7"/>
      <c r="D29" s="7"/>
      <c r="E29" s="7"/>
    </row>
    <row r="30" customFormat="false" ht="15" hidden="false" customHeight="true" outlineLevel="0" collapsed="false">
      <c r="B30" s="8" t="s">
        <v>53</v>
      </c>
      <c r="C30" s="20" t="n">
        <v>2</v>
      </c>
      <c r="D30" s="10" t="s">
        <v>54</v>
      </c>
    </row>
    <row r="31" customFormat="false" ht="15" hidden="false" customHeight="true" outlineLevel="0" collapsed="false">
      <c r="B31" s="8" t="s">
        <v>55</v>
      </c>
      <c r="C31" s="20" t="n">
        <v>10</v>
      </c>
      <c r="D31" s="10"/>
    </row>
    <row r="33" customFormat="false" ht="15" hidden="false" customHeight="true" outlineLevel="0" collapsed="false">
      <c r="B33" s="6" t="s">
        <v>56</v>
      </c>
      <c r="C33" s="7"/>
      <c r="D33" s="7"/>
      <c r="E33" s="7"/>
    </row>
    <row r="34" customFormat="false" ht="21.75" hidden="false" customHeight="true" outlineLevel="0" collapsed="false">
      <c r="B34" s="8" t="s">
        <v>57</v>
      </c>
      <c r="C34" s="21" t="s">
        <v>58</v>
      </c>
      <c r="D34" s="10" t="s">
        <v>59</v>
      </c>
    </row>
    <row r="35" customFormat="false" ht="32.25" hidden="false" customHeight="true" outlineLevel="0" collapsed="false">
      <c r="B35" s="8" t="s">
        <v>60</v>
      </c>
      <c r="C35" s="21" t="s">
        <v>61</v>
      </c>
      <c r="D35" s="10" t="s">
        <v>62</v>
      </c>
    </row>
    <row r="37" customFormat="false" ht="15" hidden="false" customHeight="true" outlineLevel="0" collapsed="false">
      <c r="B37" s="6" t="s">
        <v>63</v>
      </c>
      <c r="C37" s="7"/>
      <c r="D37" s="7"/>
      <c r="E37" s="7"/>
    </row>
    <row r="38" customFormat="false" ht="15" hidden="false" customHeight="true" outlineLevel="0" collapsed="false">
      <c r="B38" s="4" t="s">
        <v>64</v>
      </c>
      <c r="C38" s="4" t="s">
        <v>65</v>
      </c>
      <c r="D38" s="4" t="s">
        <v>66</v>
      </c>
    </row>
    <row r="39" customFormat="false" ht="15" hidden="false" customHeight="true" outlineLevel="0" collapsed="false">
      <c r="B39" s="12" t="s">
        <v>67</v>
      </c>
      <c r="C39" s="16" t="n">
        <v>0.35</v>
      </c>
      <c r="D39" s="11" t="n">
        <v>0</v>
      </c>
    </row>
    <row r="40" customFormat="false" ht="15" hidden="false" customHeight="true" outlineLevel="0" collapsed="false">
      <c r="B40" s="12" t="s">
        <v>68</v>
      </c>
      <c r="C40" s="16" t="n">
        <v>0.5</v>
      </c>
      <c r="D40" s="11" t="n">
        <v>6</v>
      </c>
    </row>
    <row r="41" customFormat="false" ht="15" hidden="false" customHeight="true" outlineLevel="0" collapsed="false">
      <c r="B41" s="12" t="s">
        <v>69</v>
      </c>
      <c r="C41" s="16" t="n">
        <v>0.15</v>
      </c>
      <c r="D41" s="11" t="n">
        <v>45</v>
      </c>
    </row>
    <row r="42" customFormat="false" ht="15" hidden="false" customHeight="true" outlineLevel="0" collapsed="false">
      <c r="B42" s="12" t="s">
        <v>37</v>
      </c>
      <c r="C42" s="18" t="n">
        <f aca="false">C39+C40+C41</f>
        <v>1</v>
      </c>
    </row>
    <row r="43" customFormat="false" ht="15" hidden="false" customHeight="true" outlineLevel="0" collapsed="false">
      <c r="B43" s="8" t="s">
        <v>70</v>
      </c>
      <c r="C43" s="9" t="n">
        <v>120000</v>
      </c>
      <c r="D43" s="10" t="s">
        <v>71</v>
      </c>
    </row>
    <row r="44" customFormat="false" ht="15" hidden="false" customHeight="true" outlineLevel="0" collapsed="false">
      <c r="B44" s="8" t="s">
        <v>72</v>
      </c>
      <c r="C44" s="9" t="n">
        <v>6000</v>
      </c>
      <c r="D44" s="10"/>
    </row>
    <row r="46" customFormat="false" ht="15" hidden="false" customHeight="true" outlineLevel="0" collapsed="false">
      <c r="B46" s="6" t="s">
        <v>73</v>
      </c>
      <c r="C46" s="7"/>
      <c r="D46" s="7"/>
      <c r="E46" s="7"/>
    </row>
    <row r="47" customFormat="false" ht="15" hidden="false" customHeight="true" outlineLevel="0" collapsed="false">
      <c r="B47" s="8" t="s">
        <v>74</v>
      </c>
      <c r="C47" s="16" t="n">
        <v>0.02</v>
      </c>
      <c r="D47" s="10" t="s">
        <v>75</v>
      </c>
    </row>
    <row r="48" customFormat="false" ht="15" hidden="false" customHeight="true" outlineLevel="0" collapsed="false">
      <c r="B48" s="8" t="s">
        <v>76</v>
      </c>
      <c r="C48" s="19" t="n">
        <v>150000</v>
      </c>
      <c r="D48" s="10" t="s">
        <v>77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"/>
    <col collapsed="false" customWidth="true" hidden="false" outlineLevel="0" max="2" min="2" style="1" width="44"/>
    <col collapsed="false" customWidth="true" hidden="false" outlineLevel="0" max="3" min="3" style="1" width="18"/>
    <col collapsed="false" customWidth="true" hidden="false" outlineLevel="0" max="4" min="4" style="1" width="14"/>
    <col collapsed="false" customWidth="true" hidden="false" outlineLevel="0" max="5" min="5" style="1" width="34"/>
    <col collapsed="false" customWidth="true" hidden="false" outlineLevel="0" max="6" min="6" style="1" width="9"/>
    <col collapsed="false" customWidth="true" hidden="false" outlineLevel="0" max="7" min="7" style="1" width="10"/>
    <col collapsed="false" customWidth="true" hidden="false" outlineLevel="0" max="8" min="8" style="1" width="9"/>
    <col collapsed="false" customWidth="true" hidden="false" outlineLevel="0" max="9" min="9" style="1" width="8"/>
    <col collapsed="false" customWidth="true" hidden="false" outlineLevel="0" max="11" min="10" style="1" width="12"/>
    <col collapsed="false" customWidth="true" hidden="false" outlineLevel="0" max="12" min="12" style="1" width="10"/>
    <col collapsed="false" customWidth="true" hidden="false" outlineLevel="0" max="13" min="13" style="1" width="9"/>
    <col collapsed="false" customWidth="true" hidden="false" outlineLevel="0" max="14" min="14" style="1" width="10"/>
    <col collapsed="false" customWidth="true" hidden="false" outlineLevel="0" max="15" min="15" style="1" width="14"/>
    <col collapsed="false" customWidth="true" hidden="false" outlineLevel="0" max="16" min="16" style="1" width="40"/>
    <col collapsed="false" customWidth="true" hidden="false" outlineLevel="0" max="20" min="17" style="1" width="12"/>
  </cols>
  <sheetData>
    <row r="1" customFormat="false" ht="15.75" hidden="false" customHeight="true" outlineLevel="0" collapsed="false">
      <c r="A1" s="2" t="s">
        <v>78</v>
      </c>
    </row>
    <row r="2" customFormat="false" ht="15" hidden="false" customHeight="true" outlineLevel="0" collapsed="false">
      <c r="A2" s="5" t="s">
        <v>79</v>
      </c>
    </row>
    <row r="3" customFormat="false" ht="31.5" hidden="false" customHeight="true" outlineLevel="0" collapsed="false">
      <c r="A3" s="22" t="s">
        <v>80</v>
      </c>
      <c r="B3" s="22" t="s">
        <v>81</v>
      </c>
      <c r="C3" s="22" t="s">
        <v>82</v>
      </c>
      <c r="D3" s="22" t="s">
        <v>83</v>
      </c>
      <c r="E3" s="22" t="s">
        <v>84</v>
      </c>
      <c r="F3" s="22" t="s">
        <v>85</v>
      </c>
      <c r="G3" s="22" t="s">
        <v>86</v>
      </c>
      <c r="H3" s="22" t="s">
        <v>87</v>
      </c>
      <c r="I3" s="22" t="s">
        <v>88</v>
      </c>
      <c r="J3" s="22" t="s">
        <v>89</v>
      </c>
      <c r="K3" s="22" t="s">
        <v>90</v>
      </c>
      <c r="L3" s="22" t="s">
        <v>91</v>
      </c>
      <c r="M3" s="22" t="s">
        <v>92</v>
      </c>
      <c r="N3" s="22" t="s">
        <v>93</v>
      </c>
      <c r="O3" s="22" t="s">
        <v>94</v>
      </c>
      <c r="P3" s="22" t="s">
        <v>95</v>
      </c>
      <c r="Q3" s="22" t="s">
        <v>96</v>
      </c>
      <c r="R3" s="22" t="s">
        <v>97</v>
      </c>
      <c r="S3" s="22" t="s">
        <v>98</v>
      </c>
      <c r="T3" s="22" t="s">
        <v>99</v>
      </c>
    </row>
    <row r="4" customFormat="false" ht="15" hidden="false" customHeight="true" outlineLevel="0" collapsed="false">
      <c r="A4" s="12" t="s">
        <v>100</v>
      </c>
      <c r="B4" s="3" t="s">
        <v>101</v>
      </c>
      <c r="C4" s="12" t="s">
        <v>102</v>
      </c>
      <c r="D4" s="12" t="s">
        <v>68</v>
      </c>
      <c r="E4" s="3" t="s">
        <v>103</v>
      </c>
      <c r="F4" s="12" t="n">
        <v>3</v>
      </c>
      <c r="G4" s="12" t="n">
        <v>1</v>
      </c>
      <c r="H4" s="12" t="n">
        <v>0</v>
      </c>
      <c r="I4" s="12" t="n">
        <v>0</v>
      </c>
      <c r="J4" s="13" t="n">
        <v>45000</v>
      </c>
      <c r="K4" s="13" t="n">
        <v>2500</v>
      </c>
      <c r="L4" s="23" t="n">
        <v>4</v>
      </c>
      <c r="M4" s="23" t="n">
        <v>1.5</v>
      </c>
      <c r="N4" s="23" t="n">
        <v>3</v>
      </c>
      <c r="O4" s="12" t="s">
        <v>68</v>
      </c>
      <c r="P4" s="12" t="s">
        <v>104</v>
      </c>
      <c r="Q4" s="23" t="n">
        <f aca="false">IFERROR(N(L4)+N(M4)+IF(Inputs!$C$35="YES",N(N4),0),0)</f>
        <v>8.5</v>
      </c>
      <c r="R4" s="23" t="n">
        <f aca="false">Q4*N(F4)</f>
        <v>25.5</v>
      </c>
      <c r="S4" s="17" t="n">
        <f aca="false">N(J4)/1000000*Inputs!$C$30+N(K4)/1000000*Inputs!$C$31</f>
        <v>0.115</v>
      </c>
      <c r="T4" s="17" t="n">
        <f aca="false">S4*N(F4)</f>
        <v>0.345</v>
      </c>
    </row>
    <row r="5" customFormat="false" ht="15" hidden="false" customHeight="true" outlineLevel="0" collapsed="false">
      <c r="A5" s="12" t="s">
        <v>105</v>
      </c>
      <c r="B5" s="3" t="s">
        <v>106</v>
      </c>
      <c r="C5" s="12" t="s">
        <v>102</v>
      </c>
      <c r="D5" s="12" t="s">
        <v>67</v>
      </c>
      <c r="E5" s="3" t="s">
        <v>107</v>
      </c>
      <c r="F5" s="21"/>
      <c r="G5" s="21"/>
      <c r="H5" s="21"/>
      <c r="I5" s="21"/>
      <c r="J5" s="9"/>
      <c r="K5" s="9"/>
      <c r="L5" s="11"/>
      <c r="M5" s="11"/>
      <c r="N5" s="11"/>
      <c r="O5" s="21"/>
      <c r="P5" s="21"/>
      <c r="Q5" s="23" t="n">
        <f aca="false">IFERROR(N(L5)+N(M5)+IF(Inputs!$C$35="YES",N(N5),0),0)</f>
        <v>0</v>
      </c>
      <c r="R5" s="23" t="n">
        <f aca="false">Q5*N(F5)</f>
        <v>0</v>
      </c>
      <c r="S5" s="17" t="n">
        <f aca="false">N(J5)/1000000*Inputs!$C$30+N(K5)/1000000*Inputs!$C$31</f>
        <v>0</v>
      </c>
      <c r="T5" s="17" t="n">
        <f aca="false">S5*N(F5)</f>
        <v>0</v>
      </c>
    </row>
    <row r="6" customFormat="false" ht="23.25" hidden="false" customHeight="true" outlineLevel="0" collapsed="false">
      <c r="A6" s="12" t="s">
        <v>108</v>
      </c>
      <c r="B6" s="3" t="s">
        <v>109</v>
      </c>
      <c r="C6" s="12" t="s">
        <v>110</v>
      </c>
      <c r="D6" s="12" t="s">
        <v>67</v>
      </c>
      <c r="E6" s="3" t="s">
        <v>111</v>
      </c>
      <c r="F6" s="21"/>
      <c r="G6" s="21"/>
      <c r="H6" s="21"/>
      <c r="I6" s="21"/>
      <c r="J6" s="9"/>
      <c r="K6" s="9"/>
      <c r="L6" s="11"/>
      <c r="M6" s="11"/>
      <c r="N6" s="11"/>
      <c r="O6" s="21"/>
      <c r="P6" s="21"/>
      <c r="Q6" s="23" t="n">
        <f aca="false">IFERROR(N(L6)+N(M6)+IF(Inputs!$C$35="YES",N(N6),0),0)</f>
        <v>0</v>
      </c>
      <c r="R6" s="23" t="n">
        <f aca="false">Q6*N(F6)</f>
        <v>0</v>
      </c>
      <c r="S6" s="17" t="n">
        <f aca="false">N(J6)/1000000*Inputs!$C$30+N(K6)/1000000*Inputs!$C$31</f>
        <v>0</v>
      </c>
      <c r="T6" s="17" t="n">
        <f aca="false">S6*N(F6)</f>
        <v>0</v>
      </c>
    </row>
    <row r="7" customFormat="false" ht="23.25" hidden="false" customHeight="true" outlineLevel="0" collapsed="false">
      <c r="A7" s="12" t="s">
        <v>112</v>
      </c>
      <c r="B7" s="3" t="s">
        <v>113</v>
      </c>
      <c r="C7" s="12" t="s">
        <v>114</v>
      </c>
      <c r="D7" s="12" t="s">
        <v>67</v>
      </c>
      <c r="E7" s="3" t="s">
        <v>115</v>
      </c>
      <c r="F7" s="21"/>
      <c r="G7" s="21"/>
      <c r="H7" s="21"/>
      <c r="I7" s="21"/>
      <c r="J7" s="9"/>
      <c r="K7" s="9"/>
      <c r="L7" s="11"/>
      <c r="M7" s="11"/>
      <c r="N7" s="11"/>
      <c r="O7" s="21"/>
      <c r="P7" s="21"/>
      <c r="Q7" s="23" t="n">
        <f aca="false">IFERROR(N(L7)+N(M7)+IF(Inputs!$C$35="YES",N(N7),0),0)</f>
        <v>0</v>
      </c>
      <c r="R7" s="23" t="n">
        <f aca="false">Q7*N(F7)</f>
        <v>0</v>
      </c>
      <c r="S7" s="17" t="n">
        <f aca="false">N(J7)/1000000*Inputs!$C$30+N(K7)/1000000*Inputs!$C$31</f>
        <v>0</v>
      </c>
      <c r="T7" s="17" t="n">
        <f aca="false">S7*N(F7)</f>
        <v>0</v>
      </c>
    </row>
    <row r="8" customFormat="false" ht="15" hidden="false" customHeight="true" outlineLevel="0" collapsed="false">
      <c r="A8" s="12" t="s">
        <v>116</v>
      </c>
      <c r="B8" s="3" t="s">
        <v>117</v>
      </c>
      <c r="C8" s="12" t="s">
        <v>110</v>
      </c>
      <c r="D8" s="12" t="s">
        <v>67</v>
      </c>
      <c r="E8" s="3" t="s">
        <v>118</v>
      </c>
      <c r="F8" s="21"/>
      <c r="G8" s="21"/>
      <c r="H8" s="21"/>
      <c r="I8" s="21"/>
      <c r="J8" s="9"/>
      <c r="K8" s="9"/>
      <c r="L8" s="11"/>
      <c r="M8" s="11"/>
      <c r="N8" s="11"/>
      <c r="O8" s="21"/>
      <c r="P8" s="21"/>
      <c r="Q8" s="23" t="n">
        <f aca="false">IFERROR(N(L8)+N(M8)+IF(Inputs!$C$35="YES",N(N8),0),0)</f>
        <v>0</v>
      </c>
      <c r="R8" s="23" t="n">
        <f aca="false">Q8*N(F8)</f>
        <v>0</v>
      </c>
      <c r="S8" s="17" t="n">
        <f aca="false">N(J8)/1000000*Inputs!$C$30+N(K8)/1000000*Inputs!$C$31</f>
        <v>0</v>
      </c>
      <c r="T8" s="17" t="n">
        <f aca="false">S8*N(F8)</f>
        <v>0</v>
      </c>
    </row>
    <row r="9" customFormat="false" ht="23.25" hidden="false" customHeight="true" outlineLevel="0" collapsed="false">
      <c r="A9" s="12" t="s">
        <v>119</v>
      </c>
      <c r="B9" s="3" t="s">
        <v>120</v>
      </c>
      <c r="C9" s="12" t="s">
        <v>121</v>
      </c>
      <c r="D9" s="12" t="s">
        <v>67</v>
      </c>
      <c r="E9" s="3" t="s">
        <v>122</v>
      </c>
      <c r="F9" s="21"/>
      <c r="G9" s="21"/>
      <c r="H9" s="21"/>
      <c r="I9" s="21"/>
      <c r="J9" s="9"/>
      <c r="K9" s="9"/>
      <c r="L9" s="11"/>
      <c r="M9" s="11"/>
      <c r="N9" s="11"/>
      <c r="O9" s="21"/>
      <c r="P9" s="21"/>
      <c r="Q9" s="23" t="n">
        <f aca="false">IFERROR(N(L9)+N(M9)+IF(Inputs!$C$35="YES",N(N9),0),0)</f>
        <v>0</v>
      </c>
      <c r="R9" s="23" t="n">
        <f aca="false">Q9*N(F9)</f>
        <v>0</v>
      </c>
      <c r="S9" s="17" t="n">
        <f aca="false">N(J9)/1000000*Inputs!$C$30+N(K9)/1000000*Inputs!$C$31</f>
        <v>0</v>
      </c>
      <c r="T9" s="17" t="n">
        <f aca="false">S9*N(F9)</f>
        <v>0</v>
      </c>
    </row>
    <row r="10" customFormat="false" ht="23.25" hidden="false" customHeight="true" outlineLevel="0" collapsed="false">
      <c r="A10" s="12" t="s">
        <v>123</v>
      </c>
      <c r="B10" s="3" t="s">
        <v>124</v>
      </c>
      <c r="C10" s="12" t="s">
        <v>125</v>
      </c>
      <c r="D10" s="12" t="s">
        <v>67</v>
      </c>
      <c r="E10" s="3" t="s">
        <v>126</v>
      </c>
      <c r="F10" s="21"/>
      <c r="G10" s="21"/>
      <c r="H10" s="21"/>
      <c r="I10" s="21"/>
      <c r="J10" s="9"/>
      <c r="K10" s="9"/>
      <c r="L10" s="11"/>
      <c r="M10" s="11"/>
      <c r="N10" s="11"/>
      <c r="O10" s="21"/>
      <c r="P10" s="21"/>
      <c r="Q10" s="23" t="n">
        <f aca="false">IFERROR(N(L10)+N(M10)+IF(Inputs!$C$35="YES",N(N10),0),0)</f>
        <v>0</v>
      </c>
      <c r="R10" s="23" t="n">
        <f aca="false">Q10*N(F10)</f>
        <v>0</v>
      </c>
      <c r="S10" s="17" t="n">
        <f aca="false">N(J10)/1000000*Inputs!$C$30+N(K10)/1000000*Inputs!$C$31</f>
        <v>0</v>
      </c>
      <c r="T10" s="17" t="n">
        <f aca="false">S10*N(F10)</f>
        <v>0</v>
      </c>
    </row>
    <row r="11" customFormat="false" ht="15" hidden="false" customHeight="true" outlineLevel="0" collapsed="false">
      <c r="A11" s="12" t="s">
        <v>127</v>
      </c>
      <c r="B11" s="3" t="s">
        <v>128</v>
      </c>
      <c r="C11" s="12" t="s">
        <v>129</v>
      </c>
      <c r="D11" s="12" t="s">
        <v>67</v>
      </c>
      <c r="E11" s="3" t="s">
        <v>130</v>
      </c>
      <c r="F11" s="21"/>
      <c r="G11" s="21"/>
      <c r="H11" s="21"/>
      <c r="I11" s="21"/>
      <c r="J11" s="9"/>
      <c r="K11" s="9"/>
      <c r="L11" s="11"/>
      <c r="M11" s="11"/>
      <c r="N11" s="11"/>
      <c r="O11" s="21"/>
      <c r="P11" s="21"/>
      <c r="Q11" s="23" t="n">
        <f aca="false">IFERROR(N(L11)+N(M11)+IF(Inputs!$C$35="YES",N(N11),0),0)</f>
        <v>0</v>
      </c>
      <c r="R11" s="23" t="n">
        <f aca="false">Q11*N(F11)</f>
        <v>0</v>
      </c>
      <c r="S11" s="17" t="n">
        <f aca="false">N(J11)/1000000*Inputs!$C$30+N(K11)/1000000*Inputs!$C$31</f>
        <v>0</v>
      </c>
      <c r="T11" s="17" t="n">
        <f aca="false">S11*N(F11)</f>
        <v>0</v>
      </c>
    </row>
    <row r="12" customFormat="false" ht="23.25" hidden="false" customHeight="true" outlineLevel="0" collapsed="false">
      <c r="A12" s="12" t="s">
        <v>131</v>
      </c>
      <c r="B12" s="3" t="s">
        <v>132</v>
      </c>
      <c r="C12" s="12" t="s">
        <v>133</v>
      </c>
      <c r="D12" s="12" t="s">
        <v>67</v>
      </c>
      <c r="E12" s="3" t="s">
        <v>134</v>
      </c>
      <c r="F12" s="21"/>
      <c r="G12" s="21"/>
      <c r="H12" s="21"/>
      <c r="I12" s="21"/>
      <c r="J12" s="9"/>
      <c r="K12" s="9"/>
      <c r="L12" s="11"/>
      <c r="M12" s="11"/>
      <c r="N12" s="11"/>
      <c r="O12" s="21"/>
      <c r="P12" s="21"/>
      <c r="Q12" s="23" t="n">
        <f aca="false">IFERROR(N(L12)+N(M12)+IF(Inputs!$C$35="YES",N(N12),0),0)</f>
        <v>0</v>
      </c>
      <c r="R12" s="23" t="n">
        <f aca="false">Q12*N(F12)</f>
        <v>0</v>
      </c>
      <c r="S12" s="17" t="n">
        <f aca="false">N(J12)/1000000*Inputs!$C$30+N(K12)/1000000*Inputs!$C$31</f>
        <v>0</v>
      </c>
      <c r="T12" s="17" t="n">
        <f aca="false">S12*N(F12)</f>
        <v>0</v>
      </c>
    </row>
    <row r="13" customFormat="false" ht="23.25" hidden="false" customHeight="true" outlineLevel="0" collapsed="false">
      <c r="A13" s="12" t="s">
        <v>135</v>
      </c>
      <c r="B13" s="3" t="s">
        <v>136</v>
      </c>
      <c r="C13" s="12" t="s">
        <v>137</v>
      </c>
      <c r="D13" s="12" t="s">
        <v>67</v>
      </c>
      <c r="E13" s="3" t="s">
        <v>138</v>
      </c>
      <c r="F13" s="21"/>
      <c r="G13" s="21"/>
      <c r="H13" s="21"/>
      <c r="I13" s="21"/>
      <c r="J13" s="9"/>
      <c r="K13" s="9"/>
      <c r="L13" s="11"/>
      <c r="M13" s="11"/>
      <c r="N13" s="11"/>
      <c r="O13" s="21"/>
      <c r="P13" s="21"/>
      <c r="Q13" s="23" t="n">
        <f aca="false">IFERROR(N(L13)+N(M13)+IF(Inputs!$C$35="YES",N(N13),0),0)</f>
        <v>0</v>
      </c>
      <c r="R13" s="23" t="n">
        <f aca="false">Q13*N(F13)</f>
        <v>0</v>
      </c>
      <c r="S13" s="17" t="n">
        <f aca="false">N(J13)/1000000*Inputs!$C$30+N(K13)/1000000*Inputs!$C$31</f>
        <v>0</v>
      </c>
      <c r="T13" s="17" t="n">
        <f aca="false">S13*N(F13)</f>
        <v>0</v>
      </c>
    </row>
    <row r="14" customFormat="false" ht="23.25" hidden="false" customHeight="true" outlineLevel="0" collapsed="false">
      <c r="A14" s="12" t="s">
        <v>139</v>
      </c>
      <c r="B14" s="3" t="s">
        <v>140</v>
      </c>
      <c r="C14" s="12" t="s">
        <v>133</v>
      </c>
      <c r="D14" s="12" t="s">
        <v>67</v>
      </c>
      <c r="E14" s="3" t="s">
        <v>141</v>
      </c>
      <c r="F14" s="21"/>
      <c r="G14" s="21"/>
      <c r="H14" s="21"/>
      <c r="I14" s="21"/>
      <c r="J14" s="9"/>
      <c r="K14" s="9"/>
      <c r="L14" s="11"/>
      <c r="M14" s="11"/>
      <c r="N14" s="11"/>
      <c r="O14" s="21"/>
      <c r="P14" s="21"/>
      <c r="Q14" s="23" t="n">
        <f aca="false">IFERROR(N(L14)+N(M14)+IF(Inputs!$C$35="YES",N(N14),0),0)</f>
        <v>0</v>
      </c>
      <c r="R14" s="23" t="n">
        <f aca="false">Q14*N(F14)</f>
        <v>0</v>
      </c>
      <c r="S14" s="17" t="n">
        <f aca="false">N(J14)/1000000*Inputs!$C$30+N(K14)/1000000*Inputs!$C$31</f>
        <v>0</v>
      </c>
      <c r="T14" s="17" t="n">
        <f aca="false">S14*N(F14)</f>
        <v>0</v>
      </c>
    </row>
    <row r="15" customFormat="false" ht="23.25" hidden="false" customHeight="true" outlineLevel="0" collapsed="false">
      <c r="A15" s="12" t="s">
        <v>142</v>
      </c>
      <c r="B15" s="3" t="s">
        <v>143</v>
      </c>
      <c r="C15" s="12" t="s">
        <v>102</v>
      </c>
      <c r="D15" s="12" t="s">
        <v>68</v>
      </c>
      <c r="E15" s="3" t="s">
        <v>144</v>
      </c>
      <c r="F15" s="21"/>
      <c r="G15" s="21"/>
      <c r="H15" s="21"/>
      <c r="I15" s="21"/>
      <c r="J15" s="9"/>
      <c r="K15" s="9"/>
      <c r="L15" s="11"/>
      <c r="M15" s="11"/>
      <c r="N15" s="11"/>
      <c r="O15" s="21"/>
      <c r="P15" s="21"/>
      <c r="Q15" s="23" t="n">
        <f aca="false">IFERROR(N(L15)+N(M15)+IF(Inputs!$C$35="YES",N(N15),0),0)</f>
        <v>0</v>
      </c>
      <c r="R15" s="23" t="n">
        <f aca="false">Q15*N(F15)</f>
        <v>0</v>
      </c>
      <c r="S15" s="17" t="n">
        <f aca="false">N(J15)/1000000*Inputs!$C$30+N(K15)/1000000*Inputs!$C$31</f>
        <v>0</v>
      </c>
      <c r="T15" s="17" t="n">
        <f aca="false">S15*N(F15)</f>
        <v>0</v>
      </c>
    </row>
    <row r="16" customFormat="false" ht="15" hidden="false" customHeight="true" outlineLevel="0" collapsed="false">
      <c r="A16" s="12" t="s">
        <v>145</v>
      </c>
      <c r="B16" s="3" t="s">
        <v>146</v>
      </c>
      <c r="C16" s="12" t="s">
        <v>147</v>
      </c>
      <c r="D16" s="12" t="s">
        <v>68</v>
      </c>
      <c r="E16" s="3" t="s">
        <v>148</v>
      </c>
      <c r="F16" s="21"/>
      <c r="G16" s="21"/>
      <c r="H16" s="21"/>
      <c r="I16" s="21"/>
      <c r="J16" s="9"/>
      <c r="K16" s="9"/>
      <c r="L16" s="11"/>
      <c r="M16" s="11"/>
      <c r="N16" s="11"/>
      <c r="O16" s="21"/>
      <c r="P16" s="21"/>
      <c r="Q16" s="23" t="n">
        <f aca="false">IFERROR(N(L16)+N(M16)+IF(Inputs!$C$35="YES",N(N16),0),0)</f>
        <v>0</v>
      </c>
      <c r="R16" s="23" t="n">
        <f aca="false">Q16*N(F16)</f>
        <v>0</v>
      </c>
      <c r="S16" s="17" t="n">
        <f aca="false">N(J16)/1000000*Inputs!$C$30+N(K16)/1000000*Inputs!$C$31</f>
        <v>0</v>
      </c>
      <c r="T16" s="17" t="n">
        <f aca="false">S16*N(F16)</f>
        <v>0</v>
      </c>
    </row>
    <row r="17" customFormat="false" ht="15" hidden="false" customHeight="true" outlineLevel="0" collapsed="false">
      <c r="A17" s="12" t="s">
        <v>149</v>
      </c>
      <c r="B17" s="3" t="s">
        <v>150</v>
      </c>
      <c r="C17" s="12" t="s">
        <v>121</v>
      </c>
      <c r="D17" s="12" t="s">
        <v>68</v>
      </c>
      <c r="E17" s="3" t="s">
        <v>151</v>
      </c>
      <c r="F17" s="21"/>
      <c r="G17" s="21"/>
      <c r="H17" s="21"/>
      <c r="I17" s="21"/>
      <c r="J17" s="9"/>
      <c r="K17" s="9"/>
      <c r="L17" s="11"/>
      <c r="M17" s="11"/>
      <c r="N17" s="11"/>
      <c r="O17" s="21"/>
      <c r="P17" s="21"/>
      <c r="Q17" s="23" t="n">
        <f aca="false">IFERROR(N(L17)+N(M17)+IF(Inputs!$C$35="YES",N(N17),0),0)</f>
        <v>0</v>
      </c>
      <c r="R17" s="23" t="n">
        <f aca="false">Q17*N(F17)</f>
        <v>0</v>
      </c>
      <c r="S17" s="17" t="n">
        <f aca="false">N(J17)/1000000*Inputs!$C$30+N(K17)/1000000*Inputs!$C$31</f>
        <v>0</v>
      </c>
      <c r="T17" s="17" t="n">
        <f aca="false">S17*N(F17)</f>
        <v>0</v>
      </c>
    </row>
    <row r="18" customFormat="false" ht="23.25" hidden="false" customHeight="true" outlineLevel="0" collapsed="false">
      <c r="A18" s="12" t="s">
        <v>152</v>
      </c>
      <c r="B18" s="3" t="s">
        <v>153</v>
      </c>
      <c r="C18" s="12" t="s">
        <v>121</v>
      </c>
      <c r="D18" s="12" t="s">
        <v>68</v>
      </c>
      <c r="E18" s="3" t="s">
        <v>154</v>
      </c>
      <c r="F18" s="21"/>
      <c r="G18" s="21"/>
      <c r="H18" s="21"/>
      <c r="I18" s="21"/>
      <c r="J18" s="9"/>
      <c r="K18" s="9"/>
      <c r="L18" s="11"/>
      <c r="M18" s="11"/>
      <c r="N18" s="11"/>
      <c r="O18" s="21"/>
      <c r="P18" s="21"/>
      <c r="Q18" s="23" t="n">
        <f aca="false">IFERROR(N(L18)+N(M18)+IF(Inputs!$C$35="YES",N(N18),0),0)</f>
        <v>0</v>
      </c>
      <c r="R18" s="23" t="n">
        <f aca="false">Q18*N(F18)</f>
        <v>0</v>
      </c>
      <c r="S18" s="17" t="n">
        <f aca="false">N(J18)/1000000*Inputs!$C$30+N(K18)/1000000*Inputs!$C$31</f>
        <v>0</v>
      </c>
      <c r="T18" s="17" t="n">
        <f aca="false">S18*N(F18)</f>
        <v>0</v>
      </c>
    </row>
    <row r="19" customFormat="false" ht="15" hidden="false" customHeight="true" outlineLevel="0" collapsed="false">
      <c r="A19" s="12" t="s">
        <v>155</v>
      </c>
      <c r="B19" s="3" t="s">
        <v>156</v>
      </c>
      <c r="C19" s="12" t="s">
        <v>114</v>
      </c>
      <c r="D19" s="12" t="s">
        <v>68</v>
      </c>
      <c r="E19" s="3" t="s">
        <v>157</v>
      </c>
      <c r="F19" s="21"/>
      <c r="G19" s="21"/>
      <c r="H19" s="21"/>
      <c r="I19" s="21"/>
      <c r="J19" s="9"/>
      <c r="K19" s="9"/>
      <c r="L19" s="11"/>
      <c r="M19" s="11"/>
      <c r="N19" s="11"/>
      <c r="O19" s="21"/>
      <c r="P19" s="21"/>
      <c r="Q19" s="23" t="n">
        <f aca="false">IFERROR(N(L19)+N(M19)+IF(Inputs!$C$35="YES",N(N19),0),0)</f>
        <v>0</v>
      </c>
      <c r="R19" s="23" t="n">
        <f aca="false">Q19*N(F19)</f>
        <v>0</v>
      </c>
      <c r="S19" s="17" t="n">
        <f aca="false">N(J19)/1000000*Inputs!$C$30+N(K19)/1000000*Inputs!$C$31</f>
        <v>0</v>
      </c>
      <c r="T19" s="17" t="n">
        <f aca="false">S19*N(F19)</f>
        <v>0</v>
      </c>
    </row>
    <row r="20" customFormat="false" ht="15" hidden="false" customHeight="true" outlineLevel="0" collapsed="false">
      <c r="A20" s="12" t="s">
        <v>158</v>
      </c>
      <c r="B20" s="3" t="s">
        <v>159</v>
      </c>
      <c r="C20" s="12" t="s">
        <v>133</v>
      </c>
      <c r="D20" s="12" t="s">
        <v>68</v>
      </c>
      <c r="E20" s="3" t="s">
        <v>160</v>
      </c>
      <c r="F20" s="21"/>
      <c r="G20" s="21"/>
      <c r="H20" s="21"/>
      <c r="I20" s="21"/>
      <c r="J20" s="9"/>
      <c r="K20" s="9"/>
      <c r="L20" s="11"/>
      <c r="M20" s="11"/>
      <c r="N20" s="11"/>
      <c r="O20" s="21"/>
      <c r="P20" s="21"/>
      <c r="Q20" s="23" t="n">
        <f aca="false">IFERROR(N(L20)+N(M20)+IF(Inputs!$C$35="YES",N(N20),0),0)</f>
        <v>0</v>
      </c>
      <c r="R20" s="23" t="n">
        <f aca="false">Q20*N(F20)</f>
        <v>0</v>
      </c>
      <c r="S20" s="17" t="n">
        <f aca="false">N(J20)/1000000*Inputs!$C$30+N(K20)/1000000*Inputs!$C$31</f>
        <v>0</v>
      </c>
      <c r="T20" s="17" t="n">
        <f aca="false">S20*N(F20)</f>
        <v>0</v>
      </c>
    </row>
    <row r="21" customFormat="false" ht="15" hidden="false" customHeight="true" outlineLevel="0" collapsed="false">
      <c r="A21" s="12" t="s">
        <v>161</v>
      </c>
      <c r="B21" s="3" t="s">
        <v>162</v>
      </c>
      <c r="C21" s="12" t="s">
        <v>163</v>
      </c>
      <c r="D21" s="12" t="s">
        <v>68</v>
      </c>
      <c r="E21" s="3" t="s">
        <v>164</v>
      </c>
      <c r="F21" s="21"/>
      <c r="G21" s="21"/>
      <c r="H21" s="21"/>
      <c r="I21" s="21"/>
      <c r="J21" s="9"/>
      <c r="K21" s="9"/>
      <c r="L21" s="11"/>
      <c r="M21" s="11"/>
      <c r="N21" s="11"/>
      <c r="O21" s="21"/>
      <c r="P21" s="21"/>
      <c r="Q21" s="23" t="n">
        <f aca="false">IFERROR(N(L21)+N(M21)+IF(Inputs!$C$35="YES",N(N21),0),0)</f>
        <v>0</v>
      </c>
      <c r="R21" s="23" t="n">
        <f aca="false">Q21*N(F21)</f>
        <v>0</v>
      </c>
      <c r="S21" s="17" t="n">
        <f aca="false">N(J21)/1000000*Inputs!$C$30+N(K21)/1000000*Inputs!$C$31</f>
        <v>0</v>
      </c>
      <c r="T21" s="17" t="n">
        <f aca="false">S21*N(F21)</f>
        <v>0</v>
      </c>
    </row>
    <row r="22" customFormat="false" ht="15" hidden="false" customHeight="true" outlineLevel="0" collapsed="false">
      <c r="A22" s="12" t="s">
        <v>165</v>
      </c>
      <c r="B22" s="3" t="s">
        <v>166</v>
      </c>
      <c r="C22" s="12" t="s">
        <v>114</v>
      </c>
      <c r="D22" s="12" t="s">
        <v>68</v>
      </c>
      <c r="E22" s="3" t="s">
        <v>167</v>
      </c>
      <c r="F22" s="21"/>
      <c r="G22" s="21"/>
      <c r="H22" s="21"/>
      <c r="I22" s="21"/>
      <c r="J22" s="9"/>
      <c r="K22" s="9"/>
      <c r="L22" s="11"/>
      <c r="M22" s="11"/>
      <c r="N22" s="11"/>
      <c r="O22" s="21"/>
      <c r="P22" s="21"/>
      <c r="Q22" s="23" t="n">
        <f aca="false">IFERROR(N(L22)+N(M22)+IF(Inputs!$C$35="YES",N(N22),0),0)</f>
        <v>0</v>
      </c>
      <c r="R22" s="23" t="n">
        <f aca="false">Q22*N(F22)</f>
        <v>0</v>
      </c>
      <c r="S22" s="17" t="n">
        <f aca="false">N(J22)/1000000*Inputs!$C$30+N(K22)/1000000*Inputs!$C$31</f>
        <v>0</v>
      </c>
      <c r="T22" s="17" t="n">
        <f aca="false">S22*N(F22)</f>
        <v>0</v>
      </c>
    </row>
    <row r="23" customFormat="false" ht="15" hidden="false" customHeight="true" outlineLevel="0" collapsed="false">
      <c r="A23" s="12" t="s">
        <v>168</v>
      </c>
      <c r="B23" s="3" t="s">
        <v>169</v>
      </c>
      <c r="C23" s="12" t="s">
        <v>121</v>
      </c>
      <c r="D23" s="12" t="s">
        <v>68</v>
      </c>
      <c r="E23" s="3" t="s">
        <v>170</v>
      </c>
      <c r="F23" s="21"/>
      <c r="G23" s="21"/>
      <c r="H23" s="21"/>
      <c r="I23" s="21"/>
      <c r="J23" s="9"/>
      <c r="K23" s="9"/>
      <c r="L23" s="11"/>
      <c r="M23" s="11"/>
      <c r="N23" s="11"/>
      <c r="O23" s="21"/>
      <c r="P23" s="21"/>
      <c r="Q23" s="23" t="n">
        <f aca="false">IFERROR(N(L23)+N(M23)+IF(Inputs!$C$35="YES",N(N23),0),0)</f>
        <v>0</v>
      </c>
      <c r="R23" s="23" t="n">
        <f aca="false">Q23*N(F23)</f>
        <v>0</v>
      </c>
      <c r="S23" s="17" t="n">
        <f aca="false">N(J23)/1000000*Inputs!$C$30+N(K23)/1000000*Inputs!$C$31</f>
        <v>0</v>
      </c>
      <c r="T23" s="17" t="n">
        <f aca="false">S23*N(F23)</f>
        <v>0</v>
      </c>
    </row>
    <row r="24" customFormat="false" ht="23.25" hidden="false" customHeight="true" outlineLevel="0" collapsed="false">
      <c r="A24" s="12" t="s">
        <v>171</v>
      </c>
      <c r="B24" s="3" t="s">
        <v>172</v>
      </c>
      <c r="C24" s="12" t="s">
        <v>102</v>
      </c>
      <c r="D24" s="12" t="s">
        <v>68</v>
      </c>
      <c r="E24" s="3" t="s">
        <v>173</v>
      </c>
      <c r="F24" s="21"/>
      <c r="G24" s="21"/>
      <c r="H24" s="21"/>
      <c r="I24" s="21"/>
      <c r="J24" s="9"/>
      <c r="K24" s="9"/>
      <c r="L24" s="11"/>
      <c r="M24" s="11"/>
      <c r="N24" s="11"/>
      <c r="O24" s="21"/>
      <c r="P24" s="21"/>
      <c r="Q24" s="23" t="n">
        <f aca="false">IFERROR(N(L24)+N(M24)+IF(Inputs!$C$35="YES",N(N24),0),0)</f>
        <v>0</v>
      </c>
      <c r="R24" s="23" t="n">
        <f aca="false">Q24*N(F24)</f>
        <v>0</v>
      </c>
      <c r="S24" s="17" t="n">
        <f aca="false">N(J24)/1000000*Inputs!$C$30+N(K24)/1000000*Inputs!$C$31</f>
        <v>0</v>
      </c>
      <c r="T24" s="17" t="n">
        <f aca="false">S24*N(F24)</f>
        <v>0</v>
      </c>
    </row>
    <row r="25" customFormat="false" ht="15" hidden="false" customHeight="true" outlineLevel="0" collapsed="false">
      <c r="A25" s="12" t="s">
        <v>174</v>
      </c>
      <c r="B25" s="3" t="s">
        <v>175</v>
      </c>
      <c r="C25" s="12" t="s">
        <v>176</v>
      </c>
      <c r="D25" s="12" t="s">
        <v>69</v>
      </c>
      <c r="E25" s="3" t="s">
        <v>177</v>
      </c>
      <c r="F25" s="21"/>
      <c r="G25" s="21"/>
      <c r="H25" s="21"/>
      <c r="I25" s="21"/>
      <c r="J25" s="9"/>
      <c r="K25" s="9"/>
      <c r="L25" s="11"/>
      <c r="M25" s="11"/>
      <c r="N25" s="11"/>
      <c r="O25" s="21"/>
      <c r="P25" s="21"/>
      <c r="Q25" s="23" t="n">
        <f aca="false">IFERROR(N(L25)+N(M25)+IF(Inputs!$C$35="YES",N(N25),0),0)</f>
        <v>0</v>
      </c>
      <c r="R25" s="23" t="n">
        <f aca="false">Q25*N(F25)</f>
        <v>0</v>
      </c>
      <c r="S25" s="17" t="n">
        <f aca="false">N(J25)/1000000*Inputs!$C$30+N(K25)/1000000*Inputs!$C$31</f>
        <v>0</v>
      </c>
      <c r="T25" s="17" t="n">
        <f aca="false">S25*N(F25)</f>
        <v>0</v>
      </c>
    </row>
    <row r="26" customFormat="false" ht="23.25" hidden="false" customHeight="true" outlineLevel="0" collapsed="false">
      <c r="A26" s="12" t="s">
        <v>178</v>
      </c>
      <c r="B26" s="3" t="s">
        <v>179</v>
      </c>
      <c r="C26" s="12" t="s">
        <v>180</v>
      </c>
      <c r="D26" s="12" t="s">
        <v>69</v>
      </c>
      <c r="E26" s="3" t="s">
        <v>181</v>
      </c>
      <c r="F26" s="21"/>
      <c r="G26" s="21"/>
      <c r="H26" s="21"/>
      <c r="I26" s="21"/>
      <c r="J26" s="9"/>
      <c r="K26" s="9"/>
      <c r="L26" s="11"/>
      <c r="M26" s="11"/>
      <c r="N26" s="11"/>
      <c r="O26" s="21"/>
      <c r="P26" s="21"/>
      <c r="Q26" s="23" t="n">
        <f aca="false">IFERROR(N(L26)+N(M26)+IF(Inputs!$C$35="YES",N(N26),0),0)</f>
        <v>0</v>
      </c>
      <c r="R26" s="23" t="n">
        <f aca="false">Q26*N(F26)</f>
        <v>0</v>
      </c>
      <c r="S26" s="17" t="n">
        <f aca="false">N(J26)/1000000*Inputs!$C$30+N(K26)/1000000*Inputs!$C$31</f>
        <v>0</v>
      </c>
      <c r="T26" s="17" t="n">
        <f aca="false">S26*N(F26)</f>
        <v>0</v>
      </c>
    </row>
    <row r="27" customFormat="false" ht="15" hidden="false" customHeight="true" outlineLevel="0" collapsed="false">
      <c r="A27" s="12" t="s">
        <v>182</v>
      </c>
      <c r="B27" s="3" t="s">
        <v>183</v>
      </c>
      <c r="C27" s="12" t="s">
        <v>133</v>
      </c>
      <c r="D27" s="12" t="s">
        <v>69</v>
      </c>
      <c r="E27" s="3" t="s">
        <v>184</v>
      </c>
      <c r="F27" s="21"/>
      <c r="G27" s="21"/>
      <c r="H27" s="21"/>
      <c r="I27" s="21"/>
      <c r="J27" s="9"/>
      <c r="K27" s="9"/>
      <c r="L27" s="11"/>
      <c r="M27" s="11"/>
      <c r="N27" s="11"/>
      <c r="O27" s="21"/>
      <c r="P27" s="21"/>
      <c r="Q27" s="23" t="n">
        <f aca="false">IFERROR(N(L27)+N(M27)+IF(Inputs!$C$35="YES",N(N27),0),0)</f>
        <v>0</v>
      </c>
      <c r="R27" s="23" t="n">
        <f aca="false">Q27*N(F27)</f>
        <v>0</v>
      </c>
      <c r="S27" s="17" t="n">
        <f aca="false">N(J27)/1000000*Inputs!$C$30+N(K27)/1000000*Inputs!$C$31</f>
        <v>0</v>
      </c>
      <c r="T27" s="17" t="n">
        <f aca="false">S27*N(F27)</f>
        <v>0</v>
      </c>
    </row>
    <row r="28" customFormat="false" ht="23.25" hidden="false" customHeight="true" outlineLevel="0" collapsed="false">
      <c r="A28" s="12" t="s">
        <v>185</v>
      </c>
      <c r="B28" s="3" t="s">
        <v>186</v>
      </c>
      <c r="C28" s="12" t="s">
        <v>137</v>
      </c>
      <c r="D28" s="12" t="s">
        <v>69</v>
      </c>
      <c r="E28" s="3" t="s">
        <v>187</v>
      </c>
      <c r="F28" s="21"/>
      <c r="G28" s="21"/>
      <c r="H28" s="21"/>
      <c r="I28" s="21"/>
      <c r="J28" s="9"/>
      <c r="K28" s="9"/>
      <c r="L28" s="11"/>
      <c r="M28" s="11"/>
      <c r="N28" s="11"/>
      <c r="O28" s="21"/>
      <c r="P28" s="21"/>
      <c r="Q28" s="23" t="n">
        <f aca="false">IFERROR(N(L28)+N(M28)+IF(Inputs!$C$35="YES",N(N28),0),0)</f>
        <v>0</v>
      </c>
      <c r="R28" s="23" t="n">
        <f aca="false">Q28*N(F28)</f>
        <v>0</v>
      </c>
      <c r="S28" s="17" t="n">
        <f aca="false">N(J28)/1000000*Inputs!$C$30+N(K28)/1000000*Inputs!$C$31</f>
        <v>0</v>
      </c>
      <c r="T28" s="17" t="n">
        <f aca="false">S28*N(F28)</f>
        <v>0</v>
      </c>
    </row>
    <row r="29" customFormat="false" ht="15" hidden="false" customHeight="true" outlineLevel="0" collapsed="false">
      <c r="A29" s="12" t="s">
        <v>188</v>
      </c>
      <c r="B29" s="3" t="s">
        <v>189</v>
      </c>
      <c r="C29" s="12" t="s">
        <v>147</v>
      </c>
      <c r="D29" s="12" t="s">
        <v>69</v>
      </c>
      <c r="E29" s="3" t="s">
        <v>190</v>
      </c>
      <c r="F29" s="21"/>
      <c r="G29" s="21"/>
      <c r="H29" s="21"/>
      <c r="I29" s="21"/>
      <c r="J29" s="9"/>
      <c r="K29" s="9"/>
      <c r="L29" s="11"/>
      <c r="M29" s="11"/>
      <c r="N29" s="11"/>
      <c r="O29" s="21"/>
      <c r="P29" s="21"/>
      <c r="Q29" s="23" t="n">
        <f aca="false">IFERROR(N(L29)+N(M29)+IF(Inputs!$C$35="YES",N(N29),0),0)</f>
        <v>0</v>
      </c>
      <c r="R29" s="23" t="n">
        <f aca="false">Q29*N(F29)</f>
        <v>0</v>
      </c>
      <c r="S29" s="17" t="n">
        <f aca="false">N(J29)/1000000*Inputs!$C$30+N(K29)/1000000*Inputs!$C$31</f>
        <v>0</v>
      </c>
      <c r="T29" s="17" t="n">
        <f aca="false">S29*N(F29)</f>
        <v>0</v>
      </c>
    </row>
    <row r="30" customFormat="false" ht="15" hidden="false" customHeight="true" outlineLevel="0" collapsed="false">
      <c r="A30" s="12" t="s">
        <v>191</v>
      </c>
      <c r="B30" s="3" t="s">
        <v>192</v>
      </c>
      <c r="C30" s="12" t="s">
        <v>163</v>
      </c>
      <c r="D30" s="12" t="s">
        <v>69</v>
      </c>
      <c r="E30" s="3" t="s">
        <v>193</v>
      </c>
      <c r="F30" s="21"/>
      <c r="G30" s="21"/>
      <c r="H30" s="21"/>
      <c r="I30" s="21"/>
      <c r="J30" s="9"/>
      <c r="K30" s="9"/>
      <c r="L30" s="11"/>
      <c r="M30" s="11"/>
      <c r="N30" s="11"/>
      <c r="O30" s="21"/>
      <c r="P30" s="21"/>
      <c r="Q30" s="23" t="n">
        <f aca="false">IFERROR(N(L30)+N(M30)+IF(Inputs!$C$35="YES",N(N30),0),0)</f>
        <v>0</v>
      </c>
      <c r="R30" s="23" t="n">
        <f aca="false">Q30*N(F30)</f>
        <v>0</v>
      </c>
      <c r="S30" s="17" t="n">
        <f aca="false">N(J30)/1000000*Inputs!$C$30+N(K30)/1000000*Inputs!$C$31</f>
        <v>0</v>
      </c>
      <c r="T30" s="17" t="n">
        <f aca="false">S30*N(F30)</f>
        <v>0</v>
      </c>
    </row>
    <row r="31" customFormat="false" ht="23.25" hidden="false" customHeight="true" outlineLevel="0" collapsed="false">
      <c r="A31" s="12" t="s">
        <v>194</v>
      </c>
      <c r="B31" s="3" t="s">
        <v>195</v>
      </c>
      <c r="C31" s="12" t="s">
        <v>196</v>
      </c>
      <c r="D31" s="12" t="s">
        <v>69</v>
      </c>
      <c r="E31" s="3" t="s">
        <v>197</v>
      </c>
      <c r="F31" s="21"/>
      <c r="G31" s="21"/>
      <c r="H31" s="21"/>
      <c r="I31" s="21"/>
      <c r="J31" s="9"/>
      <c r="K31" s="9"/>
      <c r="L31" s="11"/>
      <c r="M31" s="11"/>
      <c r="N31" s="11"/>
      <c r="O31" s="21"/>
      <c r="P31" s="21"/>
      <c r="Q31" s="23" t="n">
        <f aca="false">IFERROR(N(L31)+N(M31)+IF(Inputs!$C$35="YES",N(N31),0),0)</f>
        <v>0</v>
      </c>
      <c r="R31" s="23" t="n">
        <f aca="false">Q31*N(F31)</f>
        <v>0</v>
      </c>
      <c r="S31" s="17" t="n">
        <f aca="false">N(J31)/1000000*Inputs!$C$30+N(K31)/1000000*Inputs!$C$31</f>
        <v>0</v>
      </c>
      <c r="T31" s="17" t="n">
        <f aca="false">S31*N(F31)</f>
        <v>0</v>
      </c>
    </row>
    <row r="32" customFormat="false" ht="15" hidden="false" customHeight="true" outlineLevel="0" collapsed="false">
      <c r="A32" s="12" t="s">
        <v>198</v>
      </c>
      <c r="B32" s="3" t="s">
        <v>199</v>
      </c>
      <c r="C32" s="12" t="s">
        <v>200</v>
      </c>
      <c r="D32" s="12" t="s">
        <v>69</v>
      </c>
      <c r="E32" s="3" t="s">
        <v>201</v>
      </c>
      <c r="F32" s="21"/>
      <c r="G32" s="21"/>
      <c r="H32" s="21"/>
      <c r="I32" s="21"/>
      <c r="J32" s="9"/>
      <c r="K32" s="9"/>
      <c r="L32" s="11"/>
      <c r="M32" s="11"/>
      <c r="N32" s="11"/>
      <c r="O32" s="21"/>
      <c r="P32" s="21"/>
      <c r="Q32" s="23" t="n">
        <f aca="false">IFERROR(N(L32)+N(M32)+IF(Inputs!$C$35="YES",N(N32),0),0)</f>
        <v>0</v>
      </c>
      <c r="R32" s="23" t="n">
        <f aca="false">Q32*N(F32)</f>
        <v>0</v>
      </c>
      <c r="S32" s="17" t="n">
        <f aca="false">N(J32)/1000000*Inputs!$C$30+N(K32)/1000000*Inputs!$C$31</f>
        <v>0</v>
      </c>
      <c r="T32" s="17" t="n">
        <f aca="false">S32*N(F32)</f>
        <v>0</v>
      </c>
    </row>
    <row r="33" customFormat="false" ht="15" hidden="false" customHeight="true" outlineLevel="0" collapsed="false">
      <c r="A33" s="12" t="s">
        <v>202</v>
      </c>
      <c r="B33" s="3" t="s">
        <v>203</v>
      </c>
      <c r="C33" s="12" t="s">
        <v>204</v>
      </c>
      <c r="D33" s="12" t="s">
        <v>69</v>
      </c>
      <c r="E33" s="3" t="s">
        <v>205</v>
      </c>
      <c r="F33" s="21"/>
      <c r="G33" s="21"/>
      <c r="H33" s="21"/>
      <c r="I33" s="21"/>
      <c r="J33" s="9"/>
      <c r="K33" s="9"/>
      <c r="L33" s="11"/>
      <c r="M33" s="11"/>
      <c r="N33" s="11"/>
      <c r="O33" s="21"/>
      <c r="P33" s="21"/>
      <c r="Q33" s="23" t="n">
        <f aca="false">IFERROR(N(L33)+N(M33)+IF(Inputs!$C$35="YES",N(N33),0),0)</f>
        <v>0</v>
      </c>
      <c r="R33" s="23" t="n">
        <f aca="false">Q33*N(F33)</f>
        <v>0</v>
      </c>
      <c r="S33" s="17" t="n">
        <f aca="false">N(J33)/1000000*Inputs!$C$30+N(K33)/1000000*Inputs!$C$31</f>
        <v>0</v>
      </c>
      <c r="T33" s="17" t="n">
        <f aca="false">S33*N(F33)</f>
        <v>0</v>
      </c>
    </row>
    <row r="34" customFormat="false" ht="15" hidden="false" customHeight="true" outlineLevel="0" collapsed="false">
      <c r="A34" s="12" t="s">
        <v>206</v>
      </c>
      <c r="B34" s="3" t="s">
        <v>207</v>
      </c>
      <c r="C34" s="12" t="s">
        <v>208</v>
      </c>
      <c r="D34" s="12" t="s">
        <v>69</v>
      </c>
      <c r="E34" s="3" t="s">
        <v>209</v>
      </c>
      <c r="F34" s="21"/>
      <c r="G34" s="21"/>
      <c r="H34" s="21"/>
      <c r="I34" s="21"/>
      <c r="J34" s="9"/>
      <c r="K34" s="9"/>
      <c r="L34" s="11"/>
      <c r="M34" s="11"/>
      <c r="N34" s="11"/>
      <c r="O34" s="21"/>
      <c r="P34" s="21"/>
      <c r="Q34" s="23" t="n">
        <f aca="false">IFERROR(N(L34)+N(M34)+IF(Inputs!$C$35="YES",N(N34),0),0)</f>
        <v>0</v>
      </c>
      <c r="R34" s="23" t="n">
        <f aca="false">Q34*N(F34)</f>
        <v>0</v>
      </c>
      <c r="S34" s="17" t="n">
        <f aca="false">N(J34)/1000000*Inputs!$C$30+N(K34)/1000000*Inputs!$C$31</f>
        <v>0</v>
      </c>
      <c r="T34" s="17" t="n">
        <f aca="false">S34*N(F34)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G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26"/>
    <col collapsed="false" customWidth="true" hidden="false" outlineLevel="0" max="7" min="3" style="1" width="17"/>
  </cols>
  <sheetData>
    <row r="1" customFormat="false" ht="15.75" hidden="false" customHeight="true" outlineLevel="0" collapsed="false">
      <c r="B1" s="2" t="s">
        <v>210</v>
      </c>
    </row>
    <row r="2" customFormat="false" ht="15" hidden="false" customHeight="true" outlineLevel="0" collapsed="false">
      <c r="B2" s="5" t="s">
        <v>211</v>
      </c>
    </row>
    <row r="4" customFormat="false" ht="15" hidden="false" customHeight="true" outlineLevel="0" collapsed="false">
      <c r="B4" s="22" t="s">
        <v>94</v>
      </c>
      <c r="C4" s="22" t="s">
        <v>212</v>
      </c>
      <c r="D4" s="22" t="s">
        <v>213</v>
      </c>
      <c r="E4" s="22" t="s">
        <v>214</v>
      </c>
      <c r="F4" s="22" t="s">
        <v>215</v>
      </c>
      <c r="G4" s="22" t="s">
        <v>216</v>
      </c>
    </row>
    <row r="5" customFormat="false" ht="15" hidden="false" customHeight="true" outlineLevel="0" collapsed="false">
      <c r="B5" s="12" t="s">
        <v>67</v>
      </c>
      <c r="C5" s="24" t="n">
        <f aca="false">SUMIFS(Capture!$F$4:$F$34,Capture!$O$4:$O$34,$B5)</f>
        <v>0</v>
      </c>
      <c r="D5" s="18" t="n">
        <f aca="false">IFERROR(C5/$C$10,0)</f>
        <v>0</v>
      </c>
      <c r="E5" s="25" t="n">
        <f aca="false">IFERROR(SUMIFS(Capture!$R$4:$R$34,Capture!$O$4:$O$34,$B5)/C5,0)</f>
        <v>0</v>
      </c>
      <c r="F5" s="26" t="n">
        <f aca="false">IFERROR(SUMIFS(Capture!$T$4:$T$34,Capture!$O$4:$O$34,$B5)/C5,0)</f>
        <v>0</v>
      </c>
      <c r="G5" s="24" t="n">
        <f aca="false">COUNTIFS(Capture!$O$4:$O$34,$B5)</f>
        <v>0</v>
      </c>
    </row>
    <row r="6" customFormat="false" ht="15" hidden="false" customHeight="true" outlineLevel="0" collapsed="false">
      <c r="B6" s="12" t="s">
        <v>68</v>
      </c>
      <c r="C6" s="24" t="n">
        <f aca="false">SUMIFS(Capture!$F$4:$F$34,Capture!$O$4:$O$34,$B6)</f>
        <v>3</v>
      </c>
      <c r="D6" s="18" t="n">
        <f aca="false">IFERROR(C6/$C$10,0)</f>
        <v>1</v>
      </c>
      <c r="E6" s="25" t="n">
        <f aca="false">IFERROR(SUMIFS(Capture!$R$4:$R$34,Capture!$O$4:$O$34,$B6)/C6,0)</f>
        <v>8.5</v>
      </c>
      <c r="F6" s="26" t="n">
        <f aca="false">IFERROR(SUMIFS(Capture!$T$4:$T$34,Capture!$O$4:$O$34,$B6)/C6,0)</f>
        <v>0.115</v>
      </c>
      <c r="G6" s="24" t="n">
        <f aca="false">COUNTIFS(Capture!$O$4:$O$34,$B6)</f>
        <v>1</v>
      </c>
    </row>
    <row r="7" customFormat="false" ht="15" hidden="false" customHeight="true" outlineLevel="0" collapsed="false">
      <c r="B7" s="12" t="s">
        <v>69</v>
      </c>
      <c r="C7" s="24" t="n">
        <f aca="false">SUMIFS(Capture!$F$4:$F$34,Capture!$O$4:$O$34,$B7)</f>
        <v>0</v>
      </c>
      <c r="D7" s="18" t="n">
        <f aca="false">IFERROR(C7/$C$10,0)</f>
        <v>0</v>
      </c>
      <c r="E7" s="25" t="n">
        <f aca="false">IFERROR(SUMIFS(Capture!$R$4:$R$34,Capture!$O$4:$O$34,$B7)/C7,0)</f>
        <v>0</v>
      </c>
      <c r="F7" s="26" t="n">
        <f aca="false">IFERROR(SUMIFS(Capture!$T$4:$T$34,Capture!$O$4:$O$34,$B7)/C7,0)</f>
        <v>0</v>
      </c>
      <c r="G7" s="24" t="n">
        <f aca="false">COUNTIFS(Capture!$O$4:$O$34,$B7)</f>
        <v>0</v>
      </c>
    </row>
    <row r="8" customFormat="false" ht="15" hidden="false" customHeight="true" outlineLevel="0" collapsed="false">
      <c r="B8" s="12" t="s">
        <v>217</v>
      </c>
      <c r="C8" s="24" t="n">
        <f aca="false">SUMIFS(Capture!$F$4:$F$34,Capture!$O$4:$O$34,$B8)</f>
        <v>0</v>
      </c>
      <c r="D8" s="18" t="n">
        <f aca="false">IFERROR(C8/$C$10,0)</f>
        <v>0</v>
      </c>
      <c r="E8" s="25" t="n">
        <f aca="false">IFERROR(SUMIFS(Capture!$R$4:$R$34,Capture!$O$4:$O$34,$B8)/C8,0)</f>
        <v>0</v>
      </c>
      <c r="F8" s="26" t="n">
        <f aca="false">IFERROR(SUMIFS(Capture!$T$4:$T$34,Capture!$O$4:$O$34,$B8)/C8,0)</f>
        <v>0</v>
      </c>
      <c r="G8" s="24" t="n">
        <f aca="false">COUNTIFS(Capture!$O$4:$O$34,$B8)</f>
        <v>0</v>
      </c>
    </row>
    <row r="9" customFormat="false" ht="15" hidden="false" customHeight="true" outlineLevel="0" collapsed="false">
      <c r="B9" s="12" t="s">
        <v>88</v>
      </c>
      <c r="C9" s="24" t="n">
        <f aca="false">SUMIFS(Capture!$F$4:$F$34,Capture!$O$4:$O$34,$B9)</f>
        <v>0</v>
      </c>
      <c r="D9" s="18" t="n">
        <f aca="false">IFERROR(C9/$C$10,0)</f>
        <v>0</v>
      </c>
      <c r="E9" s="25" t="n">
        <f aca="false">IFERROR(SUMIFS(Capture!$R$4:$R$34,Capture!$O$4:$O$34,$B9)/C9,0)</f>
        <v>0</v>
      </c>
      <c r="F9" s="26" t="n">
        <f aca="false">IFERROR(SUMIFS(Capture!$T$4:$T$34,Capture!$O$4:$O$34,$B9)/C9,0)</f>
        <v>0</v>
      </c>
      <c r="G9" s="24" t="n">
        <f aca="false">COUNTIFS(Capture!$O$4:$O$34,$B9)</f>
        <v>0</v>
      </c>
    </row>
    <row r="10" customFormat="false" ht="15" hidden="false" customHeight="true" outlineLevel="0" collapsed="false">
      <c r="B10" s="4" t="s">
        <v>218</v>
      </c>
      <c r="C10" s="27" t="n">
        <f aca="false">SUM(C5:C9)</f>
        <v>3</v>
      </c>
      <c r="D10" s="28" t="n">
        <f aca="false">SUM(D5:D9)</f>
        <v>1</v>
      </c>
      <c r="G10" s="27" t="n">
        <f aca="false">SUM(G5:G9)</f>
        <v>1</v>
      </c>
    </row>
    <row r="12" customFormat="false" ht="15" hidden="false" customHeight="true" outlineLevel="0" collapsed="false">
      <c r="B12" s="4" t="s">
        <v>219</v>
      </c>
    </row>
    <row r="13" customFormat="false" ht="15" hidden="false" customHeight="true" outlineLevel="0" collapsed="false">
      <c r="B13" s="12" t="s">
        <v>220</v>
      </c>
      <c r="C13" s="18" t="n">
        <f aca="false">IFERROR(SUM(Capture!$G$4:$G$34)/SUM(Capture!$F$4:$F$34),0)</f>
        <v>0.333333333333333</v>
      </c>
    </row>
    <row r="14" customFormat="false" ht="15" hidden="false" customHeight="true" outlineLevel="0" collapsed="false">
      <c r="B14" s="12" t="s">
        <v>221</v>
      </c>
      <c r="C14" s="18" t="n">
        <f aca="false">IFERROR(C8/$C$10,0)</f>
        <v>0</v>
      </c>
    </row>
    <row r="15" customFormat="false" ht="15" hidden="false" customHeight="true" outlineLevel="0" collapsed="false">
      <c r="B15" s="12" t="s">
        <v>222</v>
      </c>
      <c r="C15" s="23" t="n">
        <f aca="false">IFERROR(SUMPRODUCT(C5:C9,E5:E9)/$C$10,0)</f>
        <v>8.5</v>
      </c>
    </row>
    <row r="16" customFormat="false" ht="15" hidden="false" customHeight="true" outlineLevel="0" collapsed="false">
      <c r="B16" s="12" t="s">
        <v>223</v>
      </c>
      <c r="C16" s="17" t="n">
        <f aca="false">IFERROR(SUMPRODUCT(C5:C9,F5:F9)/$C$10,0)</f>
        <v>0.115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H5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"/>
    <col collapsed="false" customWidth="true" hidden="false" outlineLevel="0" max="2" min="2" style="1" width="44"/>
    <col collapsed="false" customWidth="true" hidden="false" outlineLevel="0" max="8" min="3" style="1" width="12"/>
  </cols>
  <sheetData>
    <row r="1" customFormat="false" ht="15.75" hidden="false" customHeight="true" outlineLevel="0" collapsed="false">
      <c r="B1" s="2" t="s">
        <v>224</v>
      </c>
    </row>
    <row r="2" customFormat="false" ht="15" hidden="false" customHeight="true" outlineLevel="0" collapsed="false">
      <c r="B2" s="5" t="s">
        <v>225</v>
      </c>
    </row>
    <row r="4" customFormat="false" ht="15" hidden="false" customHeight="true" outlineLevel="0" collapsed="false">
      <c r="B4" s="6" t="s">
        <v>226</v>
      </c>
      <c r="C4" s="7"/>
      <c r="D4" s="7"/>
      <c r="E4" s="7"/>
    </row>
    <row r="5" customFormat="false" ht="15" hidden="false" customHeight="true" outlineLevel="0" collapsed="false">
      <c r="B5" s="12" t="s">
        <v>227</v>
      </c>
      <c r="C5" s="29" t="str">
        <f aca="false">Inputs!C34</f>
        <v>PLANNING</v>
      </c>
    </row>
    <row r="6" customFormat="false" ht="15" hidden="false" customHeight="true" outlineLevel="0" collapsed="false">
      <c r="B6" s="12" t="s">
        <v>228</v>
      </c>
      <c r="C6" s="18" t="n">
        <f aca="false">IF(Inputs!$C$34="MEASURED",Rollup!D5,Inputs!C39)</f>
        <v>0.35</v>
      </c>
    </row>
    <row r="7" customFormat="false" ht="15" hidden="false" customHeight="true" outlineLevel="0" collapsed="false">
      <c r="B7" s="12" t="s">
        <v>229</v>
      </c>
      <c r="C7" s="18" t="n">
        <f aca="false">IF(Inputs!$C$34="MEASURED",Rollup!D6,Inputs!C40)</f>
        <v>0.5</v>
      </c>
    </row>
    <row r="8" customFormat="false" ht="15" hidden="false" customHeight="true" outlineLevel="0" collapsed="false">
      <c r="B8" s="12" t="s">
        <v>230</v>
      </c>
      <c r="C8" s="18" t="n">
        <f aca="false">IF(Inputs!$C$34="MEASURED",Rollup!D7,Inputs!C41)</f>
        <v>0.15</v>
      </c>
    </row>
    <row r="9" customFormat="false" ht="42.75" hidden="false" customHeight="true" outlineLevel="0" collapsed="false">
      <c r="B9" s="12" t="s">
        <v>231</v>
      </c>
      <c r="C9" s="18" t="n">
        <f aca="false">IF(Inputs!$C$34="MEASURED",Rollup!D8,0)</f>
        <v>0</v>
      </c>
      <c r="D9" s="10" t="s">
        <v>232</v>
      </c>
    </row>
    <row r="10" customFormat="false" ht="15" hidden="false" customHeight="true" outlineLevel="0" collapsed="false">
      <c r="B10" s="12" t="s">
        <v>233</v>
      </c>
      <c r="C10" s="18" t="n">
        <f aca="false">IF(Inputs!$C$34="MEASURED",Rollup!D9,0)</f>
        <v>0</v>
      </c>
    </row>
    <row r="11" customFormat="false" ht="15" hidden="false" customHeight="true" outlineLevel="0" collapsed="false">
      <c r="B11" s="12" t="s">
        <v>234</v>
      </c>
      <c r="C11" s="23" t="n">
        <f aca="false">IF(Inputs!$C$34="MEASURED",Rollup!E5,Inputs!D39)</f>
        <v>0</v>
      </c>
    </row>
    <row r="12" customFormat="false" ht="15" hidden="false" customHeight="true" outlineLevel="0" collapsed="false">
      <c r="B12" s="12" t="s">
        <v>235</v>
      </c>
      <c r="C12" s="23" t="n">
        <f aca="false">IF(Inputs!$C$34="MEASURED",Rollup!E6,Inputs!D40)</f>
        <v>6</v>
      </c>
    </row>
    <row r="13" customFormat="false" ht="15" hidden="false" customHeight="true" outlineLevel="0" collapsed="false">
      <c r="B13" s="12" t="s">
        <v>236</v>
      </c>
      <c r="C13" s="23" t="n">
        <f aca="false">IF(Inputs!$C$34="MEASURED",Rollup!E7,Inputs!D41)</f>
        <v>45</v>
      </c>
    </row>
    <row r="14" customFormat="false" ht="32.25" hidden="false" customHeight="true" outlineLevel="0" collapsed="false">
      <c r="B14" s="4" t="s">
        <v>222</v>
      </c>
      <c r="C14" s="30" t="n">
        <f aca="false">C6*C11+C7*C12+C8*C13</f>
        <v>9.75</v>
      </c>
      <c r="D14" s="10" t="s">
        <v>237</v>
      </c>
    </row>
    <row r="15" customFormat="false" ht="15" hidden="false" customHeight="true" outlineLevel="0" collapsed="false">
      <c r="B15" s="12" t="s">
        <v>223</v>
      </c>
      <c r="C15" s="17" t="n">
        <f aca="false">IF(Inputs!$C$34="MEASURED",Rollup!C16,Inputs!C43/1000000*Inputs!C30+Inputs!C44/1000000*Inputs!C31)</f>
        <v>0.3</v>
      </c>
    </row>
    <row r="17" customFormat="false" ht="15" hidden="false" customHeight="true" outlineLevel="0" collapsed="false">
      <c r="B17" s="6" t="s">
        <v>238</v>
      </c>
      <c r="C17" s="7"/>
      <c r="D17" s="7"/>
      <c r="E17" s="7"/>
    </row>
    <row r="18" customFormat="false" ht="15" hidden="false" customHeight="true" outlineLevel="0" collapsed="false">
      <c r="B18" s="12" t="s">
        <v>239</v>
      </c>
      <c r="C18" s="24" t="n">
        <f aca="false">Inputs!C8</f>
        <v>2000</v>
      </c>
    </row>
    <row r="19" customFormat="false" ht="15" hidden="false" customHeight="true" outlineLevel="0" collapsed="false">
      <c r="B19" s="12" t="s">
        <v>240</v>
      </c>
      <c r="C19" s="13" t="n">
        <f aca="false">C18*C14</f>
        <v>19500</v>
      </c>
    </row>
    <row r="20" customFormat="false" ht="32.25" hidden="false" customHeight="true" outlineLevel="0" collapsed="false">
      <c r="B20" s="12" t="s">
        <v>241</v>
      </c>
      <c r="C20" s="13" t="n">
        <f aca="false">Inputs!C24*Inputs!C25</f>
        <v>273</v>
      </c>
      <c r="D20" s="10" t="s">
        <v>242</v>
      </c>
    </row>
    <row r="21" customFormat="false" ht="15" hidden="false" customHeight="true" outlineLevel="0" collapsed="false">
      <c r="B21" s="4" t="s">
        <v>243</v>
      </c>
      <c r="C21" s="27" t="n">
        <f aca="false">IFERROR(ROUNDUP(C19/C20,0),0)</f>
        <v>72</v>
      </c>
    </row>
    <row r="22" customFormat="false" ht="15" hidden="false" customHeight="true" outlineLevel="0" collapsed="false">
      <c r="B22" s="12" t="s">
        <v>244</v>
      </c>
      <c r="C22" s="13" t="n">
        <f aca="false">IFERROR(ROUNDUP(C21*Inputs!C26,0),0)</f>
        <v>11</v>
      </c>
    </row>
    <row r="23" customFormat="false" ht="15" hidden="false" customHeight="true" outlineLevel="0" collapsed="false">
      <c r="B23" s="4" t="s">
        <v>245</v>
      </c>
      <c r="C23" s="27" t="n">
        <f aca="false">C21+C22</f>
        <v>83</v>
      </c>
    </row>
    <row r="24" customFormat="false" ht="32.25" hidden="false" customHeight="true" outlineLevel="0" collapsed="false">
      <c r="B24" s="4" t="s">
        <v>246</v>
      </c>
      <c r="C24" s="30" t="n">
        <f aca="false">IFERROR(Inputs!C5/C21,0)</f>
        <v>13.8888888888889</v>
      </c>
      <c r="D24" s="10" t="s">
        <v>247</v>
      </c>
    </row>
    <row r="26" customFormat="false" ht="15" hidden="false" customHeight="true" outlineLevel="0" collapsed="false">
      <c r="B26" s="6" t="s">
        <v>248</v>
      </c>
      <c r="C26" s="7"/>
      <c r="D26" s="7"/>
      <c r="E26" s="7"/>
    </row>
    <row r="27" customFormat="false" ht="15" hidden="false" customHeight="true" outlineLevel="0" collapsed="false">
      <c r="B27" s="12" t="s">
        <v>249</v>
      </c>
      <c r="C27" s="31" t="n">
        <f aca="false">Inputs!C5*Inputs!C17*Inputs!C19</f>
        <v>2552000</v>
      </c>
    </row>
    <row r="28" customFormat="false" ht="15" hidden="false" customHeight="true" outlineLevel="0" collapsed="false">
      <c r="B28" s="12" t="s">
        <v>250</v>
      </c>
      <c r="C28" s="31" t="n">
        <f aca="false">C21*Inputs!C22*(1+Inputs!C23)/12</f>
        <v>3600000</v>
      </c>
    </row>
    <row r="29" customFormat="false" ht="15" hidden="false" customHeight="true" outlineLevel="0" collapsed="false">
      <c r="B29" s="12" t="s">
        <v>251</v>
      </c>
      <c r="C29" s="31" t="n">
        <f aca="false">C22*Inputs!C27*(1+Inputs!C23)/12</f>
        <v>1320000</v>
      </c>
    </row>
    <row r="30" customFormat="false" ht="15" hidden="false" customHeight="true" outlineLevel="0" collapsed="false">
      <c r="B30" s="12" t="s">
        <v>252</v>
      </c>
      <c r="C30" s="31" t="n">
        <f aca="false">C18*Inputs!C7*C15*Inputs!C19</f>
        <v>1584000</v>
      </c>
    </row>
    <row r="31" customFormat="false" ht="15" hidden="false" customHeight="true" outlineLevel="0" collapsed="false">
      <c r="B31" s="12" t="s">
        <v>253</v>
      </c>
      <c r="C31" s="31" t="n">
        <f aca="false">C27*Inputs!C47</f>
        <v>51040</v>
      </c>
    </row>
    <row r="32" customFormat="false" ht="15" hidden="false" customHeight="true" outlineLevel="0" collapsed="false">
      <c r="B32" s="12" t="s">
        <v>254</v>
      </c>
      <c r="C32" s="31" t="n">
        <f aca="false">Inputs!C48</f>
        <v>150000</v>
      </c>
    </row>
    <row r="33" customFormat="false" ht="15" hidden="false" customHeight="true" outlineLevel="0" collapsed="false">
      <c r="B33" s="4" t="s">
        <v>255</v>
      </c>
      <c r="C33" s="32" t="n">
        <f aca="false">SUM(C28:C32)</f>
        <v>6705040</v>
      </c>
    </row>
    <row r="34" customFormat="false" ht="15" hidden="false" customHeight="true" outlineLevel="0" collapsed="false">
      <c r="B34" s="4" t="s">
        <v>256</v>
      </c>
      <c r="C34" s="32" t="n">
        <f aca="false">C27-C33</f>
        <v>-4153040</v>
      </c>
    </row>
    <row r="35" customFormat="false" ht="15" hidden="false" customHeight="true" outlineLevel="0" collapsed="false">
      <c r="B35" s="4" t="s">
        <v>257</v>
      </c>
      <c r="C35" s="28" t="n">
        <f aca="false">IFERROR(C34/C27,0)</f>
        <v>-1.62736677115987</v>
      </c>
    </row>
    <row r="37" customFormat="false" ht="15" hidden="false" customHeight="true" outlineLevel="0" collapsed="false">
      <c r="B37" s="6" t="s">
        <v>258</v>
      </c>
      <c r="C37" s="7"/>
      <c r="D37" s="7"/>
      <c r="E37" s="7"/>
    </row>
    <row r="38" customFormat="false" ht="15" hidden="false" customHeight="true" outlineLevel="0" collapsed="false">
      <c r="B38" s="12" t="s">
        <v>259</v>
      </c>
      <c r="C38" s="33" t="n">
        <f aca="false">IFERROR(C27/(C18*Inputs!C7),0)</f>
        <v>42.5333333333333</v>
      </c>
    </row>
    <row r="39" customFormat="false" ht="15" hidden="false" customHeight="true" outlineLevel="0" collapsed="false">
      <c r="B39" s="12" t="s">
        <v>260</v>
      </c>
      <c r="C39" s="33" t="n">
        <f aca="false">IFERROR((C28+C29)/(C18*Inputs!C7),0)</f>
        <v>82</v>
      </c>
    </row>
    <row r="40" customFormat="false" ht="15" hidden="false" customHeight="true" outlineLevel="0" collapsed="false">
      <c r="B40" s="12" t="s">
        <v>261</v>
      </c>
      <c r="C40" s="33" t="n">
        <f aca="false">C15*Inputs!C19</f>
        <v>26.4</v>
      </c>
    </row>
    <row r="41" customFormat="false" ht="15" hidden="false" customHeight="true" outlineLevel="0" collapsed="false">
      <c r="B41" s="4" t="s">
        <v>262</v>
      </c>
      <c r="C41" s="34" t="n">
        <f aca="false">IFERROR(C33/(C18*Inputs!C7),0)</f>
        <v>111.750666666667</v>
      </c>
    </row>
    <row r="43" customFormat="false" ht="15" hidden="false" customHeight="true" outlineLevel="0" collapsed="false">
      <c r="B43" s="6" t="s">
        <v>263</v>
      </c>
      <c r="C43" s="7"/>
      <c r="D43" s="7"/>
      <c r="E43" s="7"/>
    </row>
    <row r="44" customFormat="false" ht="15" hidden="false" customHeight="true" outlineLevel="0" collapsed="false">
      <c r="B44" s="5" t="s">
        <v>264</v>
      </c>
    </row>
    <row r="45" customFormat="false" ht="15" hidden="false" customHeight="true" outlineLevel="0" collapsed="false">
      <c r="B45" s="4" t="s">
        <v>265</v>
      </c>
      <c r="C45" s="28" t="n">
        <v>0.2</v>
      </c>
      <c r="D45" s="28" t="n">
        <v>0.25</v>
      </c>
      <c r="E45" s="28" t="n">
        <v>0.3</v>
      </c>
      <c r="F45" s="28" t="n">
        <v>0.35</v>
      </c>
      <c r="G45" s="28" t="n">
        <v>0.4</v>
      </c>
      <c r="H45" s="28" t="n">
        <v>0.5</v>
      </c>
    </row>
    <row r="46" customFormat="false" ht="15" hidden="false" customHeight="true" outlineLevel="0" collapsed="false">
      <c r="B46" s="27" t="n">
        <v>15</v>
      </c>
      <c r="C46" s="35" t="n">
        <f aca="false">IFERROR(1-((ROUNDUP($C$18*((1-C$45-$C$8)*$C$12+$C$8*$B46)/$C$20,0)*Inputs!$C$22*(1+Inputs!$C$23)/12)*(1+Inputs!$C$26)+$C$18*Inputs!$C$7*$C$15*Inputs!$C$19+$C$27*Inputs!$C$47+Inputs!$C$48)/$C$27,0)</f>
        <v>-0.735909090909091</v>
      </c>
      <c r="D46" s="35" t="n">
        <f aca="false">IFERROR(1-((ROUNDUP($C$18*((1-D$45-$C$8)*$C$12+$C$8*$B46)/$C$20,0)*Inputs!$C$22*(1+Inputs!$C$23)/12)*(1+Inputs!$C$26)+$C$18*Inputs!$C$7*$C$15*Inputs!$C$19+$C$27*Inputs!$C$47+Inputs!$C$48)/$C$27,0)</f>
        <v>-0.668315047021944</v>
      </c>
      <c r="E46" s="35" t="n">
        <f aca="false">IFERROR(1-((ROUNDUP($C$18*((1-E$45-$C$8)*$C$12+$C$8*$B46)/$C$20,0)*Inputs!$C$22*(1+Inputs!$C$23)/12)*(1+Inputs!$C$26)+$C$18*Inputs!$C$7*$C$15*Inputs!$C$19+$C$27*Inputs!$C$47+Inputs!$C$48)/$C$27,0)</f>
        <v>-0.623252351097179</v>
      </c>
      <c r="F46" s="35" t="n">
        <f aca="false">IFERROR(1-((ROUNDUP($C$18*((1-F$45-$C$8)*$C$12+$C$8*$B46)/$C$20,0)*Inputs!$C$22*(1+Inputs!$C$23)/12)*(1+Inputs!$C$26)+$C$18*Inputs!$C$7*$C$15*Inputs!$C$19+$C$27*Inputs!$C$47+Inputs!$C$48)/$C$27,0)</f>
        <v>-0.578189655172414</v>
      </c>
      <c r="G46" s="35" t="n">
        <f aca="false">IFERROR(1-((ROUNDUP($C$18*((1-G$45-$C$8)*$C$12+$C$8*$B46)/$C$20,0)*Inputs!$C$22*(1+Inputs!$C$23)/12)*(1+Inputs!$C$26)+$C$18*Inputs!$C$7*$C$15*Inputs!$C$19+$C$27*Inputs!$C$47+Inputs!$C$48)/$C$27,0)</f>
        <v>-0.533126959247649</v>
      </c>
      <c r="H46" s="35" t="n">
        <f aca="false">IFERROR(1-((ROUNDUP($C$18*((1-H$45-$C$8)*$C$12+$C$8*$B46)/$C$20,0)*Inputs!$C$22*(1+Inputs!$C$23)/12)*(1+Inputs!$C$26)+$C$18*Inputs!$C$7*$C$15*Inputs!$C$19+$C$27*Inputs!$C$47+Inputs!$C$48)/$C$27,0)</f>
        <v>-0.420470219435737</v>
      </c>
    </row>
    <row r="47" customFormat="false" ht="15" hidden="false" customHeight="true" outlineLevel="0" collapsed="false">
      <c r="B47" s="27" t="n">
        <v>25</v>
      </c>
      <c r="C47" s="35" t="n">
        <f aca="false">IFERROR(1-((ROUNDUP($C$18*((1-C$45-$C$8)*$C$12+$C$8*$B47)/$C$20,0)*Inputs!$C$22*(1+Inputs!$C$23)/12)*(1+Inputs!$C$26)+$C$18*Inputs!$C$7*$C$15*Inputs!$C$19+$C$27*Inputs!$C$47+Inputs!$C$48)/$C$27,0)</f>
        <v>-0.983753918495298</v>
      </c>
      <c r="D47" s="35" t="n">
        <f aca="false">IFERROR(1-((ROUNDUP($C$18*((1-D$45-$C$8)*$C$12+$C$8*$B47)/$C$20,0)*Inputs!$C$22*(1+Inputs!$C$23)/12)*(1+Inputs!$C$26)+$C$18*Inputs!$C$7*$C$15*Inputs!$C$19+$C$27*Inputs!$C$47+Inputs!$C$48)/$C$27,0)</f>
        <v>-0.916159874608151</v>
      </c>
      <c r="E47" s="35" t="n">
        <f aca="false">IFERROR(1-((ROUNDUP($C$18*((1-E$45-$C$8)*$C$12+$C$8*$B47)/$C$20,0)*Inputs!$C$22*(1+Inputs!$C$23)/12)*(1+Inputs!$C$26)+$C$18*Inputs!$C$7*$C$15*Inputs!$C$19+$C$27*Inputs!$C$47+Inputs!$C$48)/$C$27,0)</f>
        <v>-0.871097178683386</v>
      </c>
      <c r="F47" s="35" t="n">
        <f aca="false">IFERROR(1-((ROUNDUP($C$18*((1-F$45-$C$8)*$C$12+$C$8*$B47)/$C$20,0)*Inputs!$C$22*(1+Inputs!$C$23)/12)*(1+Inputs!$C$26)+$C$18*Inputs!$C$7*$C$15*Inputs!$C$19+$C$27*Inputs!$C$47+Inputs!$C$48)/$C$27,0)</f>
        <v>-0.826034482758621</v>
      </c>
      <c r="G47" s="35" t="n">
        <f aca="false">IFERROR(1-((ROUNDUP($C$18*((1-G$45-$C$8)*$C$12+$C$8*$B47)/$C$20,0)*Inputs!$C$22*(1+Inputs!$C$23)/12)*(1+Inputs!$C$26)+$C$18*Inputs!$C$7*$C$15*Inputs!$C$19+$C$27*Inputs!$C$47+Inputs!$C$48)/$C$27,0)</f>
        <v>-0.780971786833856</v>
      </c>
      <c r="H47" s="35" t="n">
        <f aca="false">IFERROR(1-((ROUNDUP($C$18*((1-H$45-$C$8)*$C$12+$C$8*$B47)/$C$20,0)*Inputs!$C$22*(1+Inputs!$C$23)/12)*(1+Inputs!$C$26)+$C$18*Inputs!$C$7*$C$15*Inputs!$C$19+$C$27*Inputs!$C$47+Inputs!$C$48)/$C$27,0)</f>
        <v>-0.668315047021944</v>
      </c>
    </row>
    <row r="48" customFormat="false" ht="15" hidden="false" customHeight="true" outlineLevel="0" collapsed="false">
      <c r="B48" s="27" t="n">
        <v>35</v>
      </c>
      <c r="C48" s="35" t="n">
        <f aca="false">IFERROR(1-((ROUNDUP($C$18*((1-C$45-$C$8)*$C$12+$C$8*$B48)/$C$20,0)*Inputs!$C$22*(1+Inputs!$C$23)/12)*(1+Inputs!$C$26)+$C$18*Inputs!$C$7*$C$15*Inputs!$C$19+$C$27*Inputs!$C$47+Inputs!$C$48)/$C$27,0)</f>
        <v>-1.2315987460815</v>
      </c>
      <c r="D48" s="35" t="n">
        <f aca="false">IFERROR(1-((ROUNDUP($C$18*((1-D$45-$C$8)*$C$12+$C$8*$B48)/$C$20,0)*Inputs!$C$22*(1+Inputs!$C$23)/12)*(1+Inputs!$C$26)+$C$18*Inputs!$C$7*$C$15*Inputs!$C$19+$C$27*Inputs!$C$47+Inputs!$C$48)/$C$27,0)</f>
        <v>-1.16400470219436</v>
      </c>
      <c r="E48" s="35" t="n">
        <f aca="false">IFERROR(1-((ROUNDUP($C$18*((1-E$45-$C$8)*$C$12+$C$8*$B48)/$C$20,0)*Inputs!$C$22*(1+Inputs!$C$23)/12)*(1+Inputs!$C$26)+$C$18*Inputs!$C$7*$C$15*Inputs!$C$19+$C$27*Inputs!$C$47+Inputs!$C$48)/$C$27,0)</f>
        <v>-1.11894200626959</v>
      </c>
      <c r="F48" s="35" t="n">
        <f aca="false">IFERROR(1-((ROUNDUP($C$18*((1-F$45-$C$8)*$C$12+$C$8*$B48)/$C$20,0)*Inputs!$C$22*(1+Inputs!$C$23)/12)*(1+Inputs!$C$26)+$C$18*Inputs!$C$7*$C$15*Inputs!$C$19+$C$27*Inputs!$C$47+Inputs!$C$48)/$C$27,0)</f>
        <v>-1.07387931034483</v>
      </c>
      <c r="G48" s="35" t="n">
        <f aca="false">IFERROR(1-((ROUNDUP($C$18*((1-G$45-$C$8)*$C$12+$C$8*$B48)/$C$20,0)*Inputs!$C$22*(1+Inputs!$C$23)/12)*(1+Inputs!$C$26)+$C$18*Inputs!$C$7*$C$15*Inputs!$C$19+$C$27*Inputs!$C$47+Inputs!$C$48)/$C$27,0)</f>
        <v>-1.02881661442006</v>
      </c>
      <c r="H48" s="35" t="n">
        <f aca="false">IFERROR(1-((ROUNDUP($C$18*((1-H$45-$C$8)*$C$12+$C$8*$B48)/$C$20,0)*Inputs!$C$22*(1+Inputs!$C$23)/12)*(1+Inputs!$C$26)+$C$18*Inputs!$C$7*$C$15*Inputs!$C$19+$C$27*Inputs!$C$47+Inputs!$C$48)/$C$27,0)</f>
        <v>-0.916159874608151</v>
      </c>
    </row>
    <row r="49" customFormat="false" ht="15" hidden="false" customHeight="true" outlineLevel="0" collapsed="false">
      <c r="B49" s="27" t="n">
        <v>45</v>
      </c>
      <c r="C49" s="35" t="n">
        <f aca="false">IFERROR(1-((ROUNDUP($C$18*((1-C$45-$C$8)*$C$12+$C$8*$B49)/$C$20,0)*Inputs!$C$22*(1+Inputs!$C$23)/12)*(1+Inputs!$C$26)+$C$18*Inputs!$C$7*$C$15*Inputs!$C$19+$C$27*Inputs!$C$47+Inputs!$C$48)/$C$27,0)</f>
        <v>-1.47944357366771</v>
      </c>
      <c r="D49" s="35" t="n">
        <f aca="false">IFERROR(1-((ROUNDUP($C$18*((1-D$45-$C$8)*$C$12+$C$8*$B49)/$C$20,0)*Inputs!$C$22*(1+Inputs!$C$23)/12)*(1+Inputs!$C$26)+$C$18*Inputs!$C$7*$C$15*Inputs!$C$19+$C$27*Inputs!$C$47+Inputs!$C$48)/$C$27,0)</f>
        <v>-1.41184952978056</v>
      </c>
      <c r="E49" s="35" t="n">
        <f aca="false">IFERROR(1-((ROUNDUP($C$18*((1-E$45-$C$8)*$C$12+$C$8*$B49)/$C$20,0)*Inputs!$C$22*(1+Inputs!$C$23)/12)*(1+Inputs!$C$26)+$C$18*Inputs!$C$7*$C$15*Inputs!$C$19+$C$27*Inputs!$C$47+Inputs!$C$48)/$C$27,0)</f>
        <v>-1.3667868338558</v>
      </c>
      <c r="F49" s="35" t="n">
        <f aca="false">IFERROR(1-((ROUNDUP($C$18*((1-F$45-$C$8)*$C$12+$C$8*$B49)/$C$20,0)*Inputs!$C$22*(1+Inputs!$C$23)/12)*(1+Inputs!$C$26)+$C$18*Inputs!$C$7*$C$15*Inputs!$C$19+$C$27*Inputs!$C$47+Inputs!$C$48)/$C$27,0)</f>
        <v>-1.32172413793103</v>
      </c>
      <c r="G49" s="35" t="n">
        <f aca="false">IFERROR(1-((ROUNDUP($C$18*((1-G$45-$C$8)*$C$12+$C$8*$B49)/$C$20,0)*Inputs!$C$22*(1+Inputs!$C$23)/12)*(1+Inputs!$C$26)+$C$18*Inputs!$C$7*$C$15*Inputs!$C$19+$C$27*Inputs!$C$47+Inputs!$C$48)/$C$27,0)</f>
        <v>-1.27666144200627</v>
      </c>
      <c r="H49" s="35" t="n">
        <f aca="false">IFERROR(1-((ROUNDUP($C$18*((1-H$45-$C$8)*$C$12+$C$8*$B49)/$C$20,0)*Inputs!$C$22*(1+Inputs!$C$23)/12)*(1+Inputs!$C$26)+$C$18*Inputs!$C$7*$C$15*Inputs!$C$19+$C$27*Inputs!$C$47+Inputs!$C$48)/$C$27,0)</f>
        <v>-1.16400470219436</v>
      </c>
    </row>
    <row r="50" customFormat="false" ht="15" hidden="false" customHeight="true" outlineLevel="0" collapsed="false">
      <c r="B50" s="27" t="n">
        <v>60</v>
      </c>
      <c r="C50" s="35" t="n">
        <f aca="false">IFERROR(1-((ROUNDUP($C$18*((1-C$45-$C$8)*$C$12+$C$8*$B50)/$C$20,0)*Inputs!$C$22*(1+Inputs!$C$23)/12)*(1+Inputs!$C$26)+$C$18*Inputs!$C$7*$C$15*Inputs!$C$19+$C$27*Inputs!$C$47+Inputs!$C$48)/$C$27,0)</f>
        <v>-1.83994514106583</v>
      </c>
      <c r="D50" s="35" t="n">
        <f aca="false">IFERROR(1-((ROUNDUP($C$18*((1-D$45-$C$8)*$C$12+$C$8*$B50)/$C$20,0)*Inputs!$C$22*(1+Inputs!$C$23)/12)*(1+Inputs!$C$26)+$C$18*Inputs!$C$7*$C$15*Inputs!$C$19+$C$27*Inputs!$C$47+Inputs!$C$48)/$C$27,0)</f>
        <v>-1.79488244514107</v>
      </c>
      <c r="E50" s="35" t="n">
        <f aca="false">IFERROR(1-((ROUNDUP($C$18*((1-E$45-$C$8)*$C$12+$C$8*$B50)/$C$20,0)*Inputs!$C$22*(1+Inputs!$C$23)/12)*(1+Inputs!$C$26)+$C$18*Inputs!$C$7*$C$15*Inputs!$C$19+$C$27*Inputs!$C$47+Inputs!$C$48)/$C$27,0)</f>
        <v>-1.7498197492163</v>
      </c>
      <c r="F50" s="35" t="n">
        <f aca="false">IFERROR(1-((ROUNDUP($C$18*((1-F$45-$C$8)*$C$12+$C$8*$B50)/$C$20,0)*Inputs!$C$22*(1+Inputs!$C$23)/12)*(1+Inputs!$C$26)+$C$18*Inputs!$C$7*$C$15*Inputs!$C$19+$C$27*Inputs!$C$47+Inputs!$C$48)/$C$27,0)</f>
        <v>-1.68222570532915</v>
      </c>
      <c r="G50" s="35" t="n">
        <f aca="false">IFERROR(1-((ROUNDUP($C$18*((1-G$45-$C$8)*$C$12+$C$8*$B50)/$C$20,0)*Inputs!$C$22*(1+Inputs!$C$23)/12)*(1+Inputs!$C$26)+$C$18*Inputs!$C$7*$C$15*Inputs!$C$19+$C$27*Inputs!$C$47+Inputs!$C$48)/$C$27,0)</f>
        <v>-1.63716300940439</v>
      </c>
      <c r="H50" s="35" t="n">
        <f aca="false">IFERROR(1-((ROUNDUP($C$18*((1-H$45-$C$8)*$C$12+$C$8*$B50)/$C$20,0)*Inputs!$C$22*(1+Inputs!$C$23)/12)*(1+Inputs!$C$26)+$C$18*Inputs!$C$7*$C$15*Inputs!$C$19+$C$27*Inputs!$C$47+Inputs!$C$48)/$C$27,0)</f>
        <v>-1.54703761755486</v>
      </c>
    </row>
    <row r="51" customFormat="false" ht="15" hidden="false" customHeight="true" outlineLevel="0" collapsed="false">
      <c r="B51" s="27" t="n">
        <v>90</v>
      </c>
      <c r="C51" s="35" t="n">
        <f aca="false">IFERROR(1-((ROUNDUP($C$18*((1-C$45-$C$8)*$C$12+$C$8*$B51)/$C$20,0)*Inputs!$C$22*(1+Inputs!$C$23)/12)*(1+Inputs!$C$26)+$C$18*Inputs!$C$7*$C$15*Inputs!$C$19+$C$27*Inputs!$C$47+Inputs!$C$48)/$C$27,0)</f>
        <v>-2.58347962382445</v>
      </c>
      <c r="D51" s="35" t="n">
        <f aca="false">IFERROR(1-((ROUNDUP($C$18*((1-D$45-$C$8)*$C$12+$C$8*$B51)/$C$20,0)*Inputs!$C$22*(1+Inputs!$C$23)/12)*(1+Inputs!$C$26)+$C$18*Inputs!$C$7*$C$15*Inputs!$C$19+$C$27*Inputs!$C$47+Inputs!$C$48)/$C$27,0)</f>
        <v>-2.53841692789969</v>
      </c>
      <c r="E51" s="35" t="n">
        <f aca="false">IFERROR(1-((ROUNDUP($C$18*((1-E$45-$C$8)*$C$12+$C$8*$B51)/$C$20,0)*Inputs!$C$22*(1+Inputs!$C$23)/12)*(1+Inputs!$C$26)+$C$18*Inputs!$C$7*$C$15*Inputs!$C$19+$C$27*Inputs!$C$47+Inputs!$C$48)/$C$27,0)</f>
        <v>-2.49335423197492</v>
      </c>
      <c r="F51" s="35" t="n">
        <f aca="false">IFERROR(1-((ROUNDUP($C$18*((1-F$45-$C$8)*$C$12+$C$8*$B51)/$C$20,0)*Inputs!$C$22*(1+Inputs!$C$23)/12)*(1+Inputs!$C$26)+$C$18*Inputs!$C$7*$C$15*Inputs!$C$19+$C$27*Inputs!$C$47+Inputs!$C$48)/$C$27,0)</f>
        <v>-2.42576018808777</v>
      </c>
      <c r="G51" s="35" t="n">
        <f aca="false">IFERROR(1-((ROUNDUP($C$18*((1-G$45-$C$8)*$C$12+$C$8*$B51)/$C$20,0)*Inputs!$C$22*(1+Inputs!$C$23)/12)*(1+Inputs!$C$26)+$C$18*Inputs!$C$7*$C$15*Inputs!$C$19+$C$27*Inputs!$C$47+Inputs!$C$48)/$C$27,0)</f>
        <v>-2.38069749216301</v>
      </c>
      <c r="H51" s="35" t="n">
        <f aca="false">IFERROR(1-((ROUNDUP($C$18*((1-H$45-$C$8)*$C$12+$C$8*$B51)/$C$20,0)*Inputs!$C$22*(1+Inputs!$C$23)/12)*(1+Inputs!$C$26)+$C$18*Inputs!$C$7*$C$15*Inputs!$C$19+$C$27*Inputs!$C$47+Inputs!$C$48)/$C$27,0)</f>
        <v>-2.29057210031348</v>
      </c>
    </row>
    <row r="53" customFormat="false" ht="15" hidden="false" customHeight="true" outlineLevel="0" collapsed="false">
      <c r="B53" s="5" t="s">
        <v>266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AL7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8" min="3" style="0" width="11"/>
  </cols>
  <sheetData>
    <row r="1" customFormat="false" ht="16.15" hidden="false" customHeight="false" outlineLevel="0" collapsed="false">
      <c r="B1" s="36" t="s">
        <v>267</v>
      </c>
    </row>
    <row r="2" customFormat="false" ht="15" hidden="false" customHeight="false" outlineLevel="0" collapsed="false">
      <c r="B2" s="37" t="s">
        <v>268</v>
      </c>
    </row>
    <row r="4" customFormat="false" ht="15" hidden="false" customHeight="false" outlineLevel="0" collapsed="false">
      <c r="B4" s="38" t="s">
        <v>269</v>
      </c>
      <c r="C4" s="39"/>
      <c r="D4" s="39"/>
    </row>
    <row r="5" customFormat="false" ht="15" hidden="false" customHeight="false" outlineLevel="0" collapsed="false">
      <c r="B5" s="40" t="s">
        <v>270</v>
      </c>
      <c r="C5" s="41" t="n">
        <v>250</v>
      </c>
      <c r="E5" s="42"/>
    </row>
    <row r="6" customFormat="false" ht="15" hidden="false" customHeight="false" outlineLevel="0" collapsed="false">
      <c r="B6" s="40" t="s">
        <v>271</v>
      </c>
      <c r="C6" s="43" t="n">
        <v>0.12</v>
      </c>
      <c r="E6" s="42" t="s">
        <v>272</v>
      </c>
    </row>
    <row r="7" customFormat="false" ht="15" hidden="false" customHeight="false" outlineLevel="0" collapsed="false">
      <c r="B7" s="40" t="s">
        <v>273</v>
      </c>
      <c r="C7" s="41" t="n">
        <v>25000</v>
      </c>
      <c r="E7" s="42" t="s">
        <v>274</v>
      </c>
    </row>
    <row r="8" customFormat="false" ht="15" hidden="false" customHeight="false" outlineLevel="0" collapsed="false">
      <c r="B8" s="40" t="s">
        <v>19</v>
      </c>
      <c r="C8" s="44" t="n">
        <v>2</v>
      </c>
      <c r="E8" s="42" t="s">
        <v>275</v>
      </c>
    </row>
    <row r="10" customFormat="false" ht="15" hidden="false" customHeight="false" outlineLevel="0" collapsed="false">
      <c r="B10" s="38" t="s">
        <v>276</v>
      </c>
      <c r="C10" s="39"/>
      <c r="D10" s="39"/>
    </row>
    <row r="11" customFormat="false" ht="15" hidden="false" customHeight="false" outlineLevel="0" collapsed="false">
      <c r="B11" s="40" t="s">
        <v>277</v>
      </c>
      <c r="C11" s="43" t="n">
        <v>0.45</v>
      </c>
      <c r="E11" s="42"/>
    </row>
    <row r="12" customFormat="false" ht="15" hidden="false" customHeight="false" outlineLevel="0" collapsed="false">
      <c r="B12" s="40" t="s">
        <v>278</v>
      </c>
      <c r="C12" s="43" t="n">
        <v>0.75</v>
      </c>
      <c r="E12" s="42" t="s">
        <v>279</v>
      </c>
    </row>
    <row r="13" customFormat="false" ht="15" hidden="false" customHeight="false" outlineLevel="0" collapsed="false">
      <c r="B13" s="40" t="s">
        <v>280</v>
      </c>
      <c r="C13" s="41" t="n">
        <v>12</v>
      </c>
      <c r="E13" s="42" t="s">
        <v>281</v>
      </c>
    </row>
    <row r="14" customFormat="false" ht="15" hidden="false" customHeight="false" outlineLevel="0" collapsed="false">
      <c r="B14" s="40" t="s">
        <v>282</v>
      </c>
      <c r="C14" s="45" t="n">
        <v>0.3</v>
      </c>
      <c r="E14" s="42"/>
    </row>
    <row r="15" customFormat="false" ht="15" hidden="false" customHeight="false" outlineLevel="0" collapsed="false">
      <c r="B15" s="40" t="s">
        <v>283</v>
      </c>
      <c r="C15" s="43" t="n">
        <v>0.06</v>
      </c>
      <c r="E15" s="42" t="s">
        <v>284</v>
      </c>
    </row>
    <row r="17" customFormat="false" ht="15" hidden="false" customHeight="false" outlineLevel="0" collapsed="false">
      <c r="B17" s="38" t="s">
        <v>285</v>
      </c>
      <c r="C17" s="39"/>
      <c r="D17" s="39"/>
    </row>
    <row r="18" customFormat="false" ht="15" hidden="false" customHeight="false" outlineLevel="0" collapsed="false">
      <c r="B18" s="40" t="s">
        <v>286</v>
      </c>
      <c r="C18" s="44" t="n">
        <v>6</v>
      </c>
      <c r="E18" s="42"/>
    </row>
    <row r="19" customFormat="false" ht="15" hidden="false" customHeight="false" outlineLevel="0" collapsed="false">
      <c r="B19" s="40" t="s">
        <v>287</v>
      </c>
      <c r="C19" s="44" t="n">
        <v>2.5</v>
      </c>
      <c r="E19" s="42" t="s">
        <v>288</v>
      </c>
    </row>
    <row r="20" customFormat="false" ht="15" hidden="false" customHeight="false" outlineLevel="0" collapsed="false">
      <c r="B20" s="40" t="s">
        <v>289</v>
      </c>
      <c r="C20" s="44" t="n">
        <v>45</v>
      </c>
      <c r="E20" s="42"/>
    </row>
    <row r="21" customFormat="false" ht="15" hidden="false" customHeight="false" outlineLevel="0" collapsed="false">
      <c r="B21" s="40" t="s">
        <v>290</v>
      </c>
      <c r="C21" s="44" t="n">
        <v>25</v>
      </c>
      <c r="E21" s="42"/>
    </row>
    <row r="22" customFormat="false" ht="15" hidden="false" customHeight="false" outlineLevel="0" collapsed="false">
      <c r="B22" s="40" t="s">
        <v>280</v>
      </c>
      <c r="C22" s="41" t="n">
        <v>12</v>
      </c>
      <c r="E22" s="42" t="s">
        <v>291</v>
      </c>
    </row>
    <row r="23" customFormat="false" ht="15" hidden="false" customHeight="false" outlineLevel="0" collapsed="false">
      <c r="B23" s="40" t="s">
        <v>292</v>
      </c>
      <c r="C23" s="43" t="n">
        <v>0.05</v>
      </c>
      <c r="E23" s="42"/>
    </row>
    <row r="24" customFormat="false" ht="15" hidden="false" customHeight="false" outlineLevel="0" collapsed="false">
      <c r="B24" s="40" t="s">
        <v>293</v>
      </c>
      <c r="C24" s="43" t="n">
        <v>0.05</v>
      </c>
      <c r="E24" s="42" t="s">
        <v>294</v>
      </c>
    </row>
    <row r="26" customFormat="false" ht="15" hidden="false" customHeight="false" outlineLevel="0" collapsed="false">
      <c r="B26" s="38" t="s">
        <v>295</v>
      </c>
      <c r="C26" s="39"/>
      <c r="D26" s="39"/>
    </row>
    <row r="27" customFormat="false" ht="15" hidden="false" customHeight="false" outlineLevel="0" collapsed="false">
      <c r="B27" s="40" t="s">
        <v>296</v>
      </c>
      <c r="C27" s="45" t="n">
        <v>29</v>
      </c>
      <c r="E27" s="42" t="s">
        <v>297</v>
      </c>
    </row>
    <row r="28" customFormat="false" ht="15" hidden="false" customHeight="false" outlineLevel="0" collapsed="false">
      <c r="B28" s="40" t="s">
        <v>298</v>
      </c>
      <c r="C28" s="43" t="n">
        <v>0.09</v>
      </c>
      <c r="E28" s="42" t="s">
        <v>299</v>
      </c>
    </row>
    <row r="29" customFormat="false" ht="15" hidden="false" customHeight="false" outlineLevel="0" collapsed="false">
      <c r="B29" s="40" t="s">
        <v>300</v>
      </c>
      <c r="C29" s="46" t="n">
        <v>2000000</v>
      </c>
      <c r="E29" s="42" t="s">
        <v>301</v>
      </c>
    </row>
    <row r="30" customFormat="false" ht="15" hidden="false" customHeight="false" outlineLevel="0" collapsed="false">
      <c r="B30" s="40" t="s">
        <v>302</v>
      </c>
      <c r="C30" s="43" t="n">
        <v>0.02</v>
      </c>
      <c r="E30" s="42"/>
    </row>
    <row r="31" customFormat="false" ht="15" hidden="false" customHeight="false" outlineLevel="0" collapsed="false">
      <c r="B31" s="40" t="s">
        <v>303</v>
      </c>
      <c r="C31" s="46" t="n">
        <v>3000</v>
      </c>
      <c r="E31" s="42" t="s">
        <v>304</v>
      </c>
    </row>
    <row r="33" customFormat="false" ht="15" hidden="false" customHeight="false" outlineLevel="0" collapsed="false">
      <c r="B33" s="47" t="s">
        <v>305</v>
      </c>
    </row>
    <row r="35" customFormat="false" ht="15" hidden="false" customHeight="false" outlineLevel="0" collapsed="false">
      <c r="B35" s="40" t="s">
        <v>306</v>
      </c>
      <c r="C35" s="48" t="n">
        <v>1</v>
      </c>
      <c r="D35" s="48" t="n">
        <v>2</v>
      </c>
      <c r="E35" s="48" t="n">
        <v>3</v>
      </c>
      <c r="F35" s="48" t="n">
        <v>4</v>
      </c>
      <c r="G35" s="48" t="n">
        <v>5</v>
      </c>
      <c r="H35" s="48" t="n">
        <v>6</v>
      </c>
      <c r="I35" s="48" t="n">
        <v>7</v>
      </c>
      <c r="J35" s="48" t="n">
        <v>8</v>
      </c>
      <c r="K35" s="48" t="n">
        <v>9</v>
      </c>
      <c r="L35" s="48" t="n">
        <v>10</v>
      </c>
      <c r="M35" s="48" t="n">
        <v>11</v>
      </c>
      <c r="N35" s="48" t="n">
        <v>12</v>
      </c>
      <c r="O35" s="48" t="n">
        <v>13</v>
      </c>
      <c r="P35" s="48" t="n">
        <v>14</v>
      </c>
      <c r="Q35" s="48" t="n">
        <v>15</v>
      </c>
      <c r="R35" s="48" t="n">
        <v>16</v>
      </c>
      <c r="S35" s="48" t="n">
        <v>17</v>
      </c>
      <c r="T35" s="48" t="n">
        <v>18</v>
      </c>
      <c r="U35" s="48" t="n">
        <v>19</v>
      </c>
      <c r="V35" s="48" t="n">
        <v>20</v>
      </c>
      <c r="W35" s="48" t="n">
        <v>21</v>
      </c>
      <c r="X35" s="48" t="n">
        <v>22</v>
      </c>
      <c r="Y35" s="48" t="n">
        <v>23</v>
      </c>
      <c r="Z35" s="48" t="n">
        <v>24</v>
      </c>
      <c r="AA35" s="48" t="n">
        <v>25</v>
      </c>
      <c r="AB35" s="48" t="n">
        <v>26</v>
      </c>
      <c r="AC35" s="48" t="n">
        <v>27</v>
      </c>
      <c r="AD35" s="48" t="n">
        <v>28</v>
      </c>
      <c r="AE35" s="48" t="n">
        <v>29</v>
      </c>
      <c r="AF35" s="48" t="n">
        <v>30</v>
      </c>
      <c r="AG35" s="48" t="n">
        <v>31</v>
      </c>
      <c r="AH35" s="48" t="n">
        <v>32</v>
      </c>
      <c r="AI35" s="48" t="n">
        <v>33</v>
      </c>
      <c r="AJ35" s="48" t="n">
        <v>34</v>
      </c>
      <c r="AK35" s="48" t="n">
        <v>35</v>
      </c>
      <c r="AL35" s="48" t="n">
        <v>36</v>
      </c>
    </row>
    <row r="36" customFormat="false" ht="15" hidden="false" customHeight="false" outlineLevel="0" collapsed="false">
      <c r="B36" s="40" t="s">
        <v>307</v>
      </c>
      <c r="C36" s="48" t="n">
        <f aca="false">MIN($C$7,$C$5*(1+$C$6)^0)</f>
        <v>250</v>
      </c>
      <c r="D36" s="48" t="n">
        <f aca="false">MIN($C$7,$C$5*(1+$C$6)^1)</f>
        <v>280</v>
      </c>
      <c r="E36" s="48" t="n">
        <f aca="false">MIN($C$7,$C$5*(1+$C$6)^2)</f>
        <v>313.6</v>
      </c>
      <c r="F36" s="48" t="n">
        <f aca="false">MIN($C$7,$C$5*(1+$C$6)^3)</f>
        <v>351.232</v>
      </c>
      <c r="G36" s="48" t="n">
        <f aca="false">MIN($C$7,$C$5*(1+$C$6)^4)</f>
        <v>393.37984</v>
      </c>
      <c r="H36" s="48" t="n">
        <f aca="false">MIN($C$7,$C$5*(1+$C$6)^5)</f>
        <v>440.5854208</v>
      </c>
      <c r="I36" s="48" t="n">
        <f aca="false">MIN($C$7,$C$5*(1+$C$6)^6)</f>
        <v>493.455671296</v>
      </c>
      <c r="J36" s="48" t="n">
        <f aca="false">MIN($C$7,$C$5*(1+$C$6)^7)</f>
        <v>552.67035185152</v>
      </c>
      <c r="K36" s="48" t="n">
        <f aca="false">MIN($C$7,$C$5*(1+$C$6)^8)</f>
        <v>618.990794073703</v>
      </c>
      <c r="L36" s="48" t="n">
        <f aca="false">MIN($C$7,$C$5*(1+$C$6)^9)</f>
        <v>693.269689362547</v>
      </c>
      <c r="M36" s="48" t="n">
        <f aca="false">MIN($C$7,$C$5*(1+$C$6)^10)</f>
        <v>776.462052086053</v>
      </c>
      <c r="N36" s="48" t="n">
        <f aca="false">MIN($C$7,$C$5*(1+$C$6)^11)</f>
        <v>869.63749833638</v>
      </c>
      <c r="O36" s="48" t="n">
        <f aca="false">MIN($C$7,$C$5*(1+$C$6)^12)</f>
        <v>973.993998136745</v>
      </c>
      <c r="P36" s="48" t="n">
        <f aca="false">MIN($C$7,$C$5*(1+$C$6)^13)</f>
        <v>1090.87327791315</v>
      </c>
      <c r="Q36" s="48" t="n">
        <f aca="false">MIN($C$7,$C$5*(1+$C$6)^14)</f>
        <v>1221.77807126273</v>
      </c>
      <c r="R36" s="48" t="n">
        <f aca="false">MIN($C$7,$C$5*(1+$C$6)^15)</f>
        <v>1368.39143981426</v>
      </c>
      <c r="S36" s="48" t="n">
        <f aca="false">MIN($C$7,$C$5*(1+$C$6)^16)</f>
        <v>1532.59841259197</v>
      </c>
      <c r="T36" s="48" t="n">
        <f aca="false">MIN($C$7,$C$5*(1+$C$6)^17)</f>
        <v>1716.51022210301</v>
      </c>
      <c r="U36" s="48" t="n">
        <f aca="false">MIN($C$7,$C$5*(1+$C$6)^18)</f>
        <v>1922.49144875537</v>
      </c>
      <c r="V36" s="48" t="n">
        <f aca="false">MIN($C$7,$C$5*(1+$C$6)^19)</f>
        <v>2153.19042260602</v>
      </c>
      <c r="W36" s="48" t="n">
        <f aca="false">MIN($C$7,$C$5*(1+$C$6)^20)</f>
        <v>2411.57327331874</v>
      </c>
      <c r="X36" s="48" t="n">
        <f aca="false">MIN($C$7,$C$5*(1+$C$6)^21)</f>
        <v>2700.96206611699</v>
      </c>
      <c r="Y36" s="48" t="n">
        <f aca="false">MIN($C$7,$C$5*(1+$C$6)^22)</f>
        <v>3025.07751405103</v>
      </c>
      <c r="Z36" s="48" t="n">
        <f aca="false">MIN($C$7,$C$5*(1+$C$6)^23)</f>
        <v>3388.08681573715</v>
      </c>
      <c r="AA36" s="48" t="n">
        <f aca="false">MIN($C$7,$C$5*(1+$C$6)^24)</f>
        <v>3794.65723362561</v>
      </c>
      <c r="AB36" s="48" t="n">
        <f aca="false">MIN($C$7,$C$5*(1+$C$6)^25)</f>
        <v>4250.01610166068</v>
      </c>
      <c r="AC36" s="48" t="n">
        <f aca="false">MIN($C$7,$C$5*(1+$C$6)^26)</f>
        <v>4760.01803385996</v>
      </c>
      <c r="AD36" s="48" t="n">
        <f aca="false">MIN($C$7,$C$5*(1+$C$6)^27)</f>
        <v>5331.22019792316</v>
      </c>
      <c r="AE36" s="48" t="n">
        <f aca="false">MIN($C$7,$C$5*(1+$C$6)^28)</f>
        <v>5970.96662167394</v>
      </c>
      <c r="AF36" s="48" t="n">
        <f aca="false">MIN($C$7,$C$5*(1+$C$6)^29)</f>
        <v>6687.48261627481</v>
      </c>
      <c r="AG36" s="48" t="n">
        <f aca="false">MIN($C$7,$C$5*(1+$C$6)^30)</f>
        <v>7489.98053022779</v>
      </c>
      <c r="AH36" s="48" t="n">
        <f aca="false">MIN($C$7,$C$5*(1+$C$6)^31)</f>
        <v>8388.77819385513</v>
      </c>
      <c r="AI36" s="48" t="n">
        <f aca="false">MIN($C$7,$C$5*(1+$C$6)^32)</f>
        <v>9395.43157711774</v>
      </c>
      <c r="AJ36" s="48" t="n">
        <f aca="false">MIN($C$7,$C$5*(1+$C$6)^33)</f>
        <v>10522.8833663719</v>
      </c>
      <c r="AK36" s="48" t="n">
        <f aca="false">MIN($C$7,$C$5*(1+$C$6)^34)</f>
        <v>11785.6293703365</v>
      </c>
      <c r="AL36" s="48" t="n">
        <f aca="false">MIN($C$7,$C$5*(1+$C$6)^35)</f>
        <v>13199.9048947769</v>
      </c>
    </row>
    <row r="37" customFormat="false" ht="15" hidden="false" customHeight="false" outlineLevel="0" collapsed="false">
      <c r="B37" s="40" t="s">
        <v>239</v>
      </c>
      <c r="C37" s="48" t="n">
        <f aca="false">C36*$C$8</f>
        <v>500</v>
      </c>
      <c r="D37" s="48" t="n">
        <f aca="false">D36*$C$8</f>
        <v>560</v>
      </c>
      <c r="E37" s="48" t="n">
        <f aca="false">E36*$C$8</f>
        <v>627.2</v>
      </c>
      <c r="F37" s="48" t="n">
        <f aca="false">F36*$C$8</f>
        <v>702.464</v>
      </c>
      <c r="G37" s="48" t="n">
        <f aca="false">G36*$C$8</f>
        <v>786.75968</v>
      </c>
      <c r="H37" s="48" t="n">
        <f aca="false">H36*$C$8</f>
        <v>881.1708416</v>
      </c>
      <c r="I37" s="48" t="n">
        <f aca="false">I36*$C$8</f>
        <v>986.911342592001</v>
      </c>
      <c r="J37" s="48" t="n">
        <f aca="false">J36*$C$8</f>
        <v>1105.34070370304</v>
      </c>
      <c r="K37" s="48" t="n">
        <f aca="false">K36*$C$8</f>
        <v>1237.98158814741</v>
      </c>
      <c r="L37" s="48" t="n">
        <f aca="false">L36*$C$8</f>
        <v>1386.53937872509</v>
      </c>
      <c r="M37" s="48" t="n">
        <f aca="false">M36*$C$8</f>
        <v>1552.92410417211</v>
      </c>
      <c r="N37" s="48" t="n">
        <f aca="false">N36*$C$8</f>
        <v>1739.27499667276</v>
      </c>
      <c r="O37" s="48" t="n">
        <f aca="false">O36*$C$8</f>
        <v>1947.98799627349</v>
      </c>
      <c r="P37" s="48" t="n">
        <f aca="false">P36*$C$8</f>
        <v>2181.74655582631</v>
      </c>
      <c r="Q37" s="48" t="n">
        <f aca="false">Q36*$C$8</f>
        <v>2443.55614252547</v>
      </c>
      <c r="R37" s="48" t="n">
        <f aca="false">R36*$C$8</f>
        <v>2736.78287962852</v>
      </c>
      <c r="S37" s="48" t="n">
        <f aca="false">S36*$C$8</f>
        <v>3065.19682518395</v>
      </c>
      <c r="T37" s="48" t="n">
        <f aca="false">T36*$C$8</f>
        <v>3433.02044420602</v>
      </c>
      <c r="U37" s="48" t="n">
        <f aca="false">U36*$C$8</f>
        <v>3844.98289751074</v>
      </c>
      <c r="V37" s="48" t="n">
        <f aca="false">V36*$C$8</f>
        <v>4306.38084521203</v>
      </c>
      <c r="W37" s="48" t="n">
        <f aca="false">W36*$C$8</f>
        <v>4823.14654663748</v>
      </c>
      <c r="X37" s="48" t="n">
        <f aca="false">X36*$C$8</f>
        <v>5401.92413223397</v>
      </c>
      <c r="Y37" s="48" t="n">
        <f aca="false">Y36*$C$8</f>
        <v>6050.15502810205</v>
      </c>
      <c r="Z37" s="48" t="n">
        <f aca="false">Z36*$C$8</f>
        <v>6776.1736314743</v>
      </c>
      <c r="AA37" s="48" t="n">
        <f aca="false">AA36*$C$8</f>
        <v>7589.31446725121</v>
      </c>
      <c r="AB37" s="48" t="n">
        <f aca="false">AB36*$C$8</f>
        <v>8500.03220332136</v>
      </c>
      <c r="AC37" s="48" t="n">
        <f aca="false">AC36*$C$8</f>
        <v>9520.03606771992</v>
      </c>
      <c r="AD37" s="48" t="n">
        <f aca="false">AD36*$C$8</f>
        <v>10662.4403958463</v>
      </c>
      <c r="AE37" s="48" t="n">
        <f aca="false">AE36*$C$8</f>
        <v>11941.9332433479</v>
      </c>
      <c r="AF37" s="48" t="n">
        <f aca="false">AF36*$C$8</f>
        <v>13374.9652325496</v>
      </c>
      <c r="AG37" s="48" t="n">
        <f aca="false">AG36*$C$8</f>
        <v>14979.9610604556</v>
      </c>
      <c r="AH37" s="48" t="n">
        <f aca="false">AH36*$C$8</f>
        <v>16777.5563877103</v>
      </c>
      <c r="AI37" s="48" t="n">
        <f aca="false">AI36*$C$8</f>
        <v>18790.8631542355</v>
      </c>
      <c r="AJ37" s="48" t="n">
        <f aca="false">AJ36*$C$8</f>
        <v>21045.7667327437</v>
      </c>
      <c r="AK37" s="48" t="n">
        <f aca="false">AK36*$C$8</f>
        <v>23571.258740673</v>
      </c>
      <c r="AL37" s="48" t="n">
        <f aca="false">AL36*$C$8</f>
        <v>26399.8097895538</v>
      </c>
    </row>
    <row r="38" customFormat="false" ht="15" hidden="false" customHeight="false" outlineLevel="0" collapsed="false">
      <c r="B38" s="40" t="s">
        <v>228</v>
      </c>
      <c r="C38" s="49" t="n">
        <f aca="false">$C$12-($C$12-$C$11)*EXP(-LN(2)/$C$13*0)</f>
        <v>0.45</v>
      </c>
      <c r="D38" s="49" t="n">
        <f aca="false">$C$12-($C$12-$C$11)*EXP(-LN(2)/$C$13*1)</f>
        <v>0.466837706195492</v>
      </c>
      <c r="E38" s="49" t="n">
        <f aca="false">$C$12-($C$12-$C$11)*EXP(-LN(2)/$C$13*2)</f>
        <v>0.482730384557898</v>
      </c>
      <c r="F38" s="49" t="n">
        <f aca="false">$C$12-($C$12-$C$11)*EXP(-LN(2)/$C$13*3)</f>
        <v>0.497731075423886</v>
      </c>
      <c r="G38" s="49" t="n">
        <f aca="false">$C$12-($C$12-$C$11)*EXP(-LN(2)/$C$13*4)</f>
        <v>0.51188984220477</v>
      </c>
      <c r="H38" s="49" t="n">
        <f aca="false">$C$12-($C$12-$C$11)*EXP(-LN(2)/$C$13*5)</f>
        <v>0.525253938468498</v>
      </c>
      <c r="I38" s="49" t="n">
        <f aca="false">$C$12-($C$12-$C$11)*EXP(-LN(2)/$C$13*6)</f>
        <v>0.537867965644036</v>
      </c>
      <c r="J38" s="49" t="n">
        <f aca="false">$C$12-($C$12-$C$11)*EXP(-LN(2)/$C$13*7)</f>
        <v>0.549774021874495</v>
      </c>
      <c r="K38" s="49" t="n">
        <f aca="false">$C$12-($C$12-$C$11)*EXP(-LN(2)/$C$13*8)</f>
        <v>0.561011842515769</v>
      </c>
      <c r="L38" s="49" t="n">
        <f aca="false">$C$12-($C$12-$C$11)*EXP(-LN(2)/$C$13*9)</f>
        <v>0.571618932749592</v>
      </c>
      <c r="M38" s="49" t="n">
        <f aca="false">$C$12-($C$12-$C$11)*EXP(-LN(2)/$C$13*10)</f>
        <v>0.581630692753594</v>
      </c>
      <c r="N38" s="49" t="n">
        <f aca="false">$C$12-($C$12-$C$11)*EXP(-LN(2)/$C$13*11)</f>
        <v>0.591080535846106</v>
      </c>
      <c r="O38" s="49" t="n">
        <f aca="false">$C$12-($C$12-$C$11)*EXP(-LN(2)/$C$13*12)</f>
        <v>0.6</v>
      </c>
      <c r="P38" s="49" t="n">
        <f aca="false">$C$12-($C$12-$C$11)*EXP(-LN(2)/$C$13*13)</f>
        <v>0.608418853097746</v>
      </c>
      <c r="Q38" s="49" t="n">
        <f aca="false">$C$12-($C$12-$C$11)*EXP(-LN(2)/$C$13*14)</f>
        <v>0.616365192278949</v>
      </c>
      <c r="R38" s="49" t="n">
        <f aca="false">$C$12-($C$12-$C$11)*EXP(-LN(2)/$C$13*15)</f>
        <v>0.623865537711943</v>
      </c>
      <c r="S38" s="49" t="n">
        <f aca="false">$C$12-($C$12-$C$11)*EXP(-LN(2)/$C$13*16)</f>
        <v>0.630944921102385</v>
      </c>
      <c r="T38" s="49" t="n">
        <f aca="false">$C$12-($C$12-$C$11)*EXP(-LN(2)/$C$13*17)</f>
        <v>0.637626969234249</v>
      </c>
      <c r="U38" s="49" t="n">
        <f aca="false">$C$12-($C$12-$C$11)*EXP(-LN(2)/$C$13*18)</f>
        <v>0.643933982822018</v>
      </c>
      <c r="V38" s="49" t="n">
        <f aca="false">$C$12-($C$12-$C$11)*EXP(-LN(2)/$C$13*19)</f>
        <v>0.649887010937247</v>
      </c>
      <c r="W38" s="49" t="n">
        <f aca="false">$C$12-($C$12-$C$11)*EXP(-LN(2)/$C$13*20)</f>
        <v>0.655505921257885</v>
      </c>
      <c r="X38" s="49" t="n">
        <f aca="false">$C$12-($C$12-$C$11)*EXP(-LN(2)/$C$13*21)</f>
        <v>0.660809466374796</v>
      </c>
      <c r="Y38" s="49" t="n">
        <f aca="false">$C$12-($C$12-$C$11)*EXP(-LN(2)/$C$13*22)</f>
        <v>0.665815346376797</v>
      </c>
      <c r="Z38" s="49" t="n">
        <f aca="false">$C$12-($C$12-$C$11)*EXP(-LN(2)/$C$13*23)</f>
        <v>0.670540267923053</v>
      </c>
      <c r="AA38" s="49" t="n">
        <f aca="false">$C$12-($C$12-$C$11)*EXP(-LN(2)/$C$13*24)</f>
        <v>0.675</v>
      </c>
      <c r="AB38" s="49" t="n">
        <f aca="false">$C$12-($C$12-$C$11)*EXP(-LN(2)/$C$13*25)</f>
        <v>0.679209426548873</v>
      </c>
      <c r="AC38" s="49" t="n">
        <f aca="false">$C$12-($C$12-$C$11)*EXP(-LN(2)/$C$13*26)</f>
        <v>0.683182596139475</v>
      </c>
      <c r="AD38" s="49" t="n">
        <f aca="false">$C$12-($C$12-$C$11)*EXP(-LN(2)/$C$13*27)</f>
        <v>0.686932768855971</v>
      </c>
      <c r="AE38" s="49" t="n">
        <f aca="false">$C$12-($C$12-$C$11)*EXP(-LN(2)/$C$13*28)</f>
        <v>0.690472460551193</v>
      </c>
      <c r="AF38" s="49" t="n">
        <f aca="false">$C$12-($C$12-$C$11)*EXP(-LN(2)/$C$13*29)</f>
        <v>0.693813484617124</v>
      </c>
      <c r="AG38" s="49" t="n">
        <f aca="false">$C$12-($C$12-$C$11)*EXP(-LN(2)/$C$13*30)</f>
        <v>0.696966991411009</v>
      </c>
      <c r="AH38" s="49" t="n">
        <f aca="false">$C$12-($C$12-$C$11)*EXP(-LN(2)/$C$13*31)</f>
        <v>0.699943505468624</v>
      </c>
      <c r="AI38" s="49" t="n">
        <f aca="false">$C$12-($C$12-$C$11)*EXP(-LN(2)/$C$13*32)</f>
        <v>0.702752960628942</v>
      </c>
      <c r="AJ38" s="49" t="n">
        <f aca="false">$C$12-($C$12-$C$11)*EXP(-LN(2)/$C$13*33)</f>
        <v>0.705404733187398</v>
      </c>
      <c r="AK38" s="49" t="n">
        <f aca="false">$C$12-($C$12-$C$11)*EXP(-LN(2)/$C$13*34)</f>
        <v>0.707907673188399</v>
      </c>
      <c r="AL38" s="49" t="n">
        <f aca="false">$C$12-($C$12-$C$11)*EXP(-LN(2)/$C$13*35)</f>
        <v>0.710270133961526</v>
      </c>
    </row>
    <row r="39" customFormat="false" ht="15" hidden="false" customHeight="false" outlineLevel="0" collapsed="false">
      <c r="B39" s="40" t="s">
        <v>230</v>
      </c>
      <c r="C39" s="49" t="n">
        <f aca="false">$C$24+($C$23-$C$24)*EXP(-LN(2)/$C$22*0)</f>
        <v>0.05</v>
      </c>
      <c r="D39" s="49" t="n">
        <f aca="false">$C$24+($C$23-$C$24)*EXP(-LN(2)/$C$22*1)</f>
        <v>0.05</v>
      </c>
      <c r="E39" s="49" t="n">
        <f aca="false">$C$24+($C$23-$C$24)*EXP(-LN(2)/$C$22*2)</f>
        <v>0.05</v>
      </c>
      <c r="F39" s="49" t="n">
        <f aca="false">$C$24+($C$23-$C$24)*EXP(-LN(2)/$C$22*3)</f>
        <v>0.05</v>
      </c>
      <c r="G39" s="49" t="n">
        <f aca="false">$C$24+($C$23-$C$24)*EXP(-LN(2)/$C$22*4)</f>
        <v>0.05</v>
      </c>
      <c r="H39" s="49" t="n">
        <f aca="false">$C$24+($C$23-$C$24)*EXP(-LN(2)/$C$22*5)</f>
        <v>0.05</v>
      </c>
      <c r="I39" s="49" t="n">
        <f aca="false">$C$24+($C$23-$C$24)*EXP(-LN(2)/$C$22*6)</f>
        <v>0.05</v>
      </c>
      <c r="J39" s="49" t="n">
        <f aca="false">$C$24+($C$23-$C$24)*EXP(-LN(2)/$C$22*7)</f>
        <v>0.05</v>
      </c>
      <c r="K39" s="49" t="n">
        <f aca="false">$C$24+($C$23-$C$24)*EXP(-LN(2)/$C$22*8)</f>
        <v>0.05</v>
      </c>
      <c r="L39" s="49" t="n">
        <f aca="false">$C$24+($C$23-$C$24)*EXP(-LN(2)/$C$22*9)</f>
        <v>0.05</v>
      </c>
      <c r="M39" s="49" t="n">
        <f aca="false">$C$24+($C$23-$C$24)*EXP(-LN(2)/$C$22*10)</f>
        <v>0.05</v>
      </c>
      <c r="N39" s="49" t="n">
        <f aca="false">$C$24+($C$23-$C$24)*EXP(-LN(2)/$C$22*11)</f>
        <v>0.05</v>
      </c>
      <c r="O39" s="49" t="n">
        <f aca="false">$C$24+($C$23-$C$24)*EXP(-LN(2)/$C$22*12)</f>
        <v>0.05</v>
      </c>
      <c r="P39" s="49" t="n">
        <f aca="false">$C$24+($C$23-$C$24)*EXP(-LN(2)/$C$22*13)</f>
        <v>0.05</v>
      </c>
      <c r="Q39" s="49" t="n">
        <f aca="false">$C$24+($C$23-$C$24)*EXP(-LN(2)/$C$22*14)</f>
        <v>0.05</v>
      </c>
      <c r="R39" s="49" t="n">
        <f aca="false">$C$24+($C$23-$C$24)*EXP(-LN(2)/$C$22*15)</f>
        <v>0.05</v>
      </c>
      <c r="S39" s="49" t="n">
        <f aca="false">$C$24+($C$23-$C$24)*EXP(-LN(2)/$C$22*16)</f>
        <v>0.05</v>
      </c>
      <c r="T39" s="49" t="n">
        <f aca="false">$C$24+($C$23-$C$24)*EXP(-LN(2)/$C$22*17)</f>
        <v>0.05</v>
      </c>
      <c r="U39" s="49" t="n">
        <f aca="false">$C$24+($C$23-$C$24)*EXP(-LN(2)/$C$22*18)</f>
        <v>0.05</v>
      </c>
      <c r="V39" s="49" t="n">
        <f aca="false">$C$24+($C$23-$C$24)*EXP(-LN(2)/$C$22*19)</f>
        <v>0.05</v>
      </c>
      <c r="W39" s="49" t="n">
        <f aca="false">$C$24+($C$23-$C$24)*EXP(-LN(2)/$C$22*20)</f>
        <v>0.05</v>
      </c>
      <c r="X39" s="49" t="n">
        <f aca="false">$C$24+($C$23-$C$24)*EXP(-LN(2)/$C$22*21)</f>
        <v>0.05</v>
      </c>
      <c r="Y39" s="49" t="n">
        <f aca="false">$C$24+($C$23-$C$24)*EXP(-LN(2)/$C$22*22)</f>
        <v>0.05</v>
      </c>
      <c r="Z39" s="49" t="n">
        <f aca="false">$C$24+($C$23-$C$24)*EXP(-LN(2)/$C$22*23)</f>
        <v>0.05</v>
      </c>
      <c r="AA39" s="49" t="n">
        <f aca="false">$C$24+($C$23-$C$24)*EXP(-LN(2)/$C$22*24)</f>
        <v>0.05</v>
      </c>
      <c r="AB39" s="49" t="n">
        <f aca="false">$C$24+($C$23-$C$24)*EXP(-LN(2)/$C$22*25)</f>
        <v>0.05</v>
      </c>
      <c r="AC39" s="49" t="n">
        <f aca="false">$C$24+($C$23-$C$24)*EXP(-LN(2)/$C$22*26)</f>
        <v>0.05</v>
      </c>
      <c r="AD39" s="49" t="n">
        <f aca="false">$C$24+($C$23-$C$24)*EXP(-LN(2)/$C$22*27)</f>
        <v>0.05</v>
      </c>
      <c r="AE39" s="49" t="n">
        <f aca="false">$C$24+($C$23-$C$24)*EXP(-LN(2)/$C$22*28)</f>
        <v>0.05</v>
      </c>
      <c r="AF39" s="49" t="n">
        <f aca="false">$C$24+($C$23-$C$24)*EXP(-LN(2)/$C$22*29)</f>
        <v>0.05</v>
      </c>
      <c r="AG39" s="49" t="n">
        <f aca="false">$C$24+($C$23-$C$24)*EXP(-LN(2)/$C$22*30)</f>
        <v>0.05</v>
      </c>
      <c r="AH39" s="49" t="n">
        <f aca="false">$C$24+($C$23-$C$24)*EXP(-LN(2)/$C$22*31)</f>
        <v>0.05</v>
      </c>
      <c r="AI39" s="49" t="n">
        <f aca="false">$C$24+($C$23-$C$24)*EXP(-LN(2)/$C$22*32)</f>
        <v>0.05</v>
      </c>
      <c r="AJ39" s="49" t="n">
        <f aca="false">$C$24+($C$23-$C$24)*EXP(-LN(2)/$C$22*33)</f>
        <v>0.05</v>
      </c>
      <c r="AK39" s="49" t="n">
        <f aca="false">$C$24+($C$23-$C$24)*EXP(-LN(2)/$C$22*34)</f>
        <v>0.05</v>
      </c>
      <c r="AL39" s="49" t="n">
        <f aca="false">$C$24+($C$23-$C$24)*EXP(-LN(2)/$C$22*35)</f>
        <v>0.05</v>
      </c>
    </row>
    <row r="40" customFormat="false" ht="15" hidden="false" customHeight="false" outlineLevel="0" collapsed="false">
      <c r="B40" s="40" t="s">
        <v>229</v>
      </c>
      <c r="C40" s="49" t="n">
        <f aca="false">MAX(0,1-C38-C39)</f>
        <v>0.5</v>
      </c>
      <c r="D40" s="49" t="n">
        <f aca="false">MAX(0,1-D38-D39)</f>
        <v>0.483162293804508</v>
      </c>
      <c r="E40" s="49" t="n">
        <f aca="false">MAX(0,1-E38-E39)</f>
        <v>0.467269615442102</v>
      </c>
      <c r="F40" s="49" t="n">
        <f aca="false">MAX(0,1-F38-F39)</f>
        <v>0.452268924576114</v>
      </c>
      <c r="G40" s="49" t="n">
        <f aca="false">MAX(0,1-G38-G39)</f>
        <v>0.43811015779523</v>
      </c>
      <c r="H40" s="49" t="n">
        <f aca="false">MAX(0,1-H38-H39)</f>
        <v>0.424746061531502</v>
      </c>
      <c r="I40" s="49" t="n">
        <f aca="false">MAX(0,1-I38-I39)</f>
        <v>0.412132034355964</v>
      </c>
      <c r="J40" s="49" t="n">
        <f aca="false">MAX(0,1-J38-J39)</f>
        <v>0.400225978125505</v>
      </c>
      <c r="K40" s="49" t="n">
        <f aca="false">MAX(0,1-K38-K39)</f>
        <v>0.388988157484231</v>
      </c>
      <c r="L40" s="49" t="n">
        <f aca="false">MAX(0,1-L38-L39)</f>
        <v>0.378381067250408</v>
      </c>
      <c r="M40" s="49" t="n">
        <f aca="false">MAX(0,1-M38-M39)</f>
        <v>0.368369307246406</v>
      </c>
      <c r="N40" s="49" t="n">
        <f aca="false">MAX(0,1-N38-N39)</f>
        <v>0.358919464153894</v>
      </c>
      <c r="O40" s="49" t="n">
        <f aca="false">MAX(0,1-O38-O39)</f>
        <v>0.35</v>
      </c>
      <c r="P40" s="49" t="n">
        <f aca="false">MAX(0,1-P38-P39)</f>
        <v>0.341581146902254</v>
      </c>
      <c r="Q40" s="49" t="n">
        <f aca="false">MAX(0,1-Q38-Q39)</f>
        <v>0.333634807721051</v>
      </c>
      <c r="R40" s="49" t="n">
        <f aca="false">MAX(0,1-R38-R39)</f>
        <v>0.326134462288057</v>
      </c>
      <c r="S40" s="49" t="n">
        <f aca="false">MAX(0,1-S38-S39)</f>
        <v>0.319055078897615</v>
      </c>
      <c r="T40" s="49" t="n">
        <f aca="false">MAX(0,1-T38-T39)</f>
        <v>0.312373030765751</v>
      </c>
      <c r="U40" s="49" t="n">
        <f aca="false">MAX(0,1-U38-U39)</f>
        <v>0.306066017177982</v>
      </c>
      <c r="V40" s="49" t="n">
        <f aca="false">MAX(0,1-V38-V39)</f>
        <v>0.300112989062753</v>
      </c>
      <c r="W40" s="49" t="n">
        <f aca="false">MAX(0,1-W38-W39)</f>
        <v>0.294494078742116</v>
      </c>
      <c r="X40" s="49" t="n">
        <f aca="false">MAX(0,1-X38-X39)</f>
        <v>0.289190533625204</v>
      </c>
      <c r="Y40" s="49" t="n">
        <f aca="false">MAX(0,1-Y38-Y39)</f>
        <v>0.284184653623203</v>
      </c>
      <c r="Z40" s="49" t="n">
        <f aca="false">MAX(0,1-Z38-Z39)</f>
        <v>0.279459732076947</v>
      </c>
      <c r="AA40" s="49" t="n">
        <f aca="false">MAX(0,1-AA38-AA39)</f>
        <v>0.275</v>
      </c>
      <c r="AB40" s="49" t="n">
        <f aca="false">MAX(0,1-AB38-AB39)</f>
        <v>0.270790573451127</v>
      </c>
      <c r="AC40" s="49" t="n">
        <f aca="false">MAX(0,1-AC38-AC39)</f>
        <v>0.266817403860526</v>
      </c>
      <c r="AD40" s="49" t="n">
        <f aca="false">MAX(0,1-AD38-AD39)</f>
        <v>0.263067231144029</v>
      </c>
      <c r="AE40" s="49" t="n">
        <f aca="false">MAX(0,1-AE38-AE39)</f>
        <v>0.259527539448808</v>
      </c>
      <c r="AF40" s="49" t="n">
        <f aca="false">MAX(0,1-AF38-AF39)</f>
        <v>0.256186515382876</v>
      </c>
      <c r="AG40" s="49" t="n">
        <f aca="false">MAX(0,1-AG38-AG39)</f>
        <v>0.253033008588991</v>
      </c>
      <c r="AH40" s="49" t="n">
        <f aca="false">MAX(0,1-AH38-AH39)</f>
        <v>0.250056494531376</v>
      </c>
      <c r="AI40" s="49" t="n">
        <f aca="false">MAX(0,1-AI38-AI39)</f>
        <v>0.247247039371058</v>
      </c>
      <c r="AJ40" s="49" t="n">
        <f aca="false">MAX(0,1-AJ38-AJ39)</f>
        <v>0.244595266812602</v>
      </c>
      <c r="AK40" s="49" t="n">
        <f aca="false">MAX(0,1-AK38-AK39)</f>
        <v>0.242092326811601</v>
      </c>
      <c r="AL40" s="49" t="n">
        <f aca="false">MAX(0,1-AL38-AL39)</f>
        <v>0.239729866038474</v>
      </c>
    </row>
    <row r="41" customFormat="false" ht="15" hidden="false" customHeight="false" outlineLevel="0" collapsed="false">
      <c r="B41" s="40" t="s">
        <v>308</v>
      </c>
      <c r="C41" s="50" t="n">
        <f aca="false">$C$19+($C$18-$C$19)*EXP(-LN(2)/$C$22*0)</f>
        <v>6</v>
      </c>
      <c r="D41" s="50" t="n">
        <f aca="false">$C$19+($C$18-$C$19)*EXP(-LN(2)/$C$22*1)</f>
        <v>5.80356009438593</v>
      </c>
      <c r="E41" s="50" t="n">
        <f aca="false">$C$19+($C$18-$C$19)*EXP(-LN(2)/$C$22*2)</f>
        <v>5.61814551349119</v>
      </c>
      <c r="F41" s="50" t="n">
        <f aca="false">$C$19+($C$18-$C$19)*EXP(-LN(2)/$C$22*3)</f>
        <v>5.443137453388</v>
      </c>
      <c r="G41" s="50" t="n">
        <f aca="false">$C$19+($C$18-$C$19)*EXP(-LN(2)/$C$22*4)</f>
        <v>5.27795184094435</v>
      </c>
      <c r="H41" s="50" t="n">
        <f aca="false">$C$19+($C$18-$C$19)*EXP(-LN(2)/$C$22*5)</f>
        <v>5.12203738453419</v>
      </c>
      <c r="I41" s="50" t="n">
        <f aca="false">$C$19+($C$18-$C$19)*EXP(-LN(2)/$C$22*6)</f>
        <v>4.97487373415292</v>
      </c>
      <c r="J41" s="50" t="n">
        <f aca="false">$C$19+($C$18-$C$19)*EXP(-LN(2)/$C$22*7)</f>
        <v>4.83596974479756</v>
      </c>
      <c r="K41" s="50" t="n">
        <f aca="false">$C$19+($C$18-$C$19)*EXP(-LN(2)/$C$22*8)</f>
        <v>4.70486183731603</v>
      </c>
      <c r="L41" s="50" t="n">
        <f aca="false">$C$19+($C$18-$C$19)*EXP(-LN(2)/$C$22*9)</f>
        <v>4.58111245125476</v>
      </c>
      <c r="M41" s="50" t="n">
        <f aca="false">$C$19+($C$18-$C$19)*EXP(-LN(2)/$C$22*10)</f>
        <v>4.4643085845414</v>
      </c>
      <c r="N41" s="50" t="n">
        <f aca="false">$C$19+($C$18-$C$19)*EXP(-LN(2)/$C$22*11)</f>
        <v>4.35406041512877</v>
      </c>
      <c r="O41" s="50" t="n">
        <f aca="false">$C$19+($C$18-$C$19)*EXP(-LN(2)/$C$22*12)</f>
        <v>4.25</v>
      </c>
      <c r="P41" s="50" t="n">
        <f aca="false">$C$19+($C$18-$C$19)*EXP(-LN(2)/$C$22*13)</f>
        <v>4.15178004719296</v>
      </c>
      <c r="Q41" s="50" t="n">
        <f aca="false">$C$19+($C$18-$C$19)*EXP(-LN(2)/$C$22*14)</f>
        <v>4.05907275674559</v>
      </c>
      <c r="R41" s="50" t="n">
        <f aca="false">$C$19+($C$18-$C$19)*EXP(-LN(2)/$C$22*15)</f>
        <v>3.971568726694</v>
      </c>
      <c r="S41" s="50" t="n">
        <f aca="false">$C$19+($C$18-$C$19)*EXP(-LN(2)/$C$22*16)</f>
        <v>3.88897592047217</v>
      </c>
      <c r="T41" s="50" t="n">
        <f aca="false">$C$19+($C$18-$C$19)*EXP(-LN(2)/$C$22*17)</f>
        <v>3.8110186922671</v>
      </c>
      <c r="U41" s="50" t="n">
        <f aca="false">$C$19+($C$18-$C$19)*EXP(-LN(2)/$C$22*18)</f>
        <v>3.73743686707646</v>
      </c>
      <c r="V41" s="50" t="n">
        <f aca="false">$C$19+($C$18-$C$19)*EXP(-LN(2)/$C$22*19)</f>
        <v>3.66798487239878</v>
      </c>
      <c r="W41" s="50" t="n">
        <f aca="false">$C$19+($C$18-$C$19)*EXP(-LN(2)/$C$22*20)</f>
        <v>3.60243091865801</v>
      </c>
      <c r="X41" s="50" t="n">
        <f aca="false">$C$19+($C$18-$C$19)*EXP(-LN(2)/$C$22*21)</f>
        <v>3.54055622562738</v>
      </c>
      <c r="Y41" s="50" t="n">
        <f aca="false">$C$19+($C$18-$C$19)*EXP(-LN(2)/$C$22*22)</f>
        <v>3.4821542922707</v>
      </c>
      <c r="Z41" s="50" t="n">
        <f aca="false">$C$19+($C$18-$C$19)*EXP(-LN(2)/$C$22*23)</f>
        <v>3.42703020756438</v>
      </c>
      <c r="AA41" s="50" t="n">
        <f aca="false">$C$19+($C$18-$C$19)*EXP(-LN(2)/$C$22*24)</f>
        <v>3.375</v>
      </c>
      <c r="AB41" s="50" t="n">
        <f aca="false">$C$19+($C$18-$C$19)*EXP(-LN(2)/$C$22*25)</f>
        <v>3.32589002359648</v>
      </c>
      <c r="AC41" s="50" t="n">
        <f aca="false">$C$19+($C$18-$C$19)*EXP(-LN(2)/$C$22*26)</f>
        <v>3.2795363783728</v>
      </c>
      <c r="AD41" s="50" t="n">
        <f aca="false">$C$19+($C$18-$C$19)*EXP(-LN(2)/$C$22*27)</f>
        <v>3.235784363347</v>
      </c>
      <c r="AE41" s="50" t="n">
        <f aca="false">$C$19+($C$18-$C$19)*EXP(-LN(2)/$C$22*28)</f>
        <v>3.19448796023609</v>
      </c>
      <c r="AF41" s="50" t="n">
        <f aca="false">$C$19+($C$18-$C$19)*EXP(-LN(2)/$C$22*29)</f>
        <v>3.15550934613355</v>
      </c>
      <c r="AG41" s="50" t="n">
        <f aca="false">$C$19+($C$18-$C$19)*EXP(-LN(2)/$C$22*30)</f>
        <v>3.11871843353823</v>
      </c>
      <c r="AH41" s="50" t="n">
        <f aca="false">$C$19+($C$18-$C$19)*EXP(-LN(2)/$C$22*31)</f>
        <v>3.08399243619939</v>
      </c>
      <c r="AI41" s="50" t="n">
        <f aca="false">$C$19+($C$18-$C$19)*EXP(-LN(2)/$C$22*32)</f>
        <v>3.05121545932901</v>
      </c>
      <c r="AJ41" s="50" t="n">
        <f aca="false">$C$19+($C$18-$C$19)*EXP(-LN(2)/$C$22*33)</f>
        <v>3.02027811281369</v>
      </c>
      <c r="AK41" s="50" t="n">
        <f aca="false">$C$19+($C$18-$C$19)*EXP(-LN(2)/$C$22*34)</f>
        <v>2.99107714613535</v>
      </c>
      <c r="AL41" s="50" t="n">
        <f aca="false">$C$19+($C$18-$C$19)*EXP(-LN(2)/$C$22*35)</f>
        <v>2.96351510378219</v>
      </c>
    </row>
    <row r="42" customFormat="false" ht="15" hidden="false" customHeight="false" outlineLevel="0" collapsed="false">
      <c r="B42" s="40" t="s">
        <v>309</v>
      </c>
      <c r="C42" s="50" t="n">
        <f aca="false">$C$21+($C$20-$C$21)*EXP(-LN(2)/$C$22*0)</f>
        <v>45</v>
      </c>
      <c r="D42" s="50" t="n">
        <f aca="false">$C$21+($C$20-$C$21)*EXP(-LN(2)/$C$22*1)</f>
        <v>43.8774862536339</v>
      </c>
      <c r="E42" s="50" t="n">
        <f aca="false">$C$21+($C$20-$C$21)*EXP(-LN(2)/$C$22*2)</f>
        <v>42.8179743628068</v>
      </c>
      <c r="F42" s="50" t="n">
        <f aca="false">$C$21+($C$20-$C$21)*EXP(-LN(2)/$C$22*3)</f>
        <v>41.8179283050743</v>
      </c>
      <c r="G42" s="50" t="n">
        <f aca="false">$C$21+($C$20-$C$21)*EXP(-LN(2)/$C$22*4)</f>
        <v>40.874010519682</v>
      </c>
      <c r="H42" s="50" t="n">
        <f aca="false">$C$21+($C$20-$C$21)*EXP(-LN(2)/$C$22*5)</f>
        <v>39.9830707687668</v>
      </c>
      <c r="I42" s="50" t="n">
        <f aca="false">$C$21+($C$20-$C$21)*EXP(-LN(2)/$C$22*6)</f>
        <v>39.142135623731</v>
      </c>
      <c r="J42" s="50" t="n">
        <f aca="false">$C$21+($C$20-$C$21)*EXP(-LN(2)/$C$22*7)</f>
        <v>38.3483985417004</v>
      </c>
      <c r="K42" s="50" t="n">
        <f aca="false">$C$21+($C$20-$C$21)*EXP(-LN(2)/$C$22*8)</f>
        <v>37.5992104989487</v>
      </c>
      <c r="L42" s="50" t="n">
        <f aca="false">$C$21+($C$20-$C$21)*EXP(-LN(2)/$C$22*9)</f>
        <v>36.8920711500272</v>
      </c>
      <c r="M42" s="50" t="n">
        <f aca="false">$C$21+($C$20-$C$21)*EXP(-LN(2)/$C$22*10)</f>
        <v>36.2246204830937</v>
      </c>
      <c r="N42" s="50" t="n">
        <f aca="false">$C$21+($C$20-$C$21)*EXP(-LN(2)/$C$22*11)</f>
        <v>35.594630943593</v>
      </c>
      <c r="O42" s="50" t="n">
        <f aca="false">$C$21+($C$20-$C$21)*EXP(-LN(2)/$C$22*12)</f>
        <v>35</v>
      </c>
      <c r="P42" s="50" t="n">
        <f aca="false">$C$21+($C$20-$C$21)*EXP(-LN(2)/$C$22*13)</f>
        <v>34.4387431268169</v>
      </c>
      <c r="Q42" s="50" t="n">
        <f aca="false">$C$21+($C$20-$C$21)*EXP(-LN(2)/$C$22*14)</f>
        <v>33.9089871814034</v>
      </c>
      <c r="R42" s="50" t="n">
        <f aca="false">$C$21+($C$20-$C$21)*EXP(-LN(2)/$C$22*15)</f>
        <v>33.4089641525371</v>
      </c>
      <c r="S42" s="50" t="n">
        <f aca="false">$C$21+($C$20-$C$21)*EXP(-LN(2)/$C$22*16)</f>
        <v>32.937005259841</v>
      </c>
      <c r="T42" s="50" t="n">
        <f aca="false">$C$21+($C$20-$C$21)*EXP(-LN(2)/$C$22*17)</f>
        <v>32.4915353843834</v>
      </c>
      <c r="U42" s="50" t="n">
        <f aca="false">$C$21+($C$20-$C$21)*EXP(-LN(2)/$C$22*18)</f>
        <v>32.0710678118655</v>
      </c>
      <c r="V42" s="50" t="n">
        <f aca="false">$C$21+($C$20-$C$21)*EXP(-LN(2)/$C$22*19)</f>
        <v>31.6741992708502</v>
      </c>
      <c r="W42" s="50" t="n">
        <f aca="false">$C$21+($C$20-$C$21)*EXP(-LN(2)/$C$22*20)</f>
        <v>31.2996052494744</v>
      </c>
      <c r="X42" s="50" t="n">
        <f aca="false">$C$21+($C$20-$C$21)*EXP(-LN(2)/$C$22*21)</f>
        <v>30.9460355750136</v>
      </c>
      <c r="Y42" s="50" t="n">
        <f aca="false">$C$21+($C$20-$C$21)*EXP(-LN(2)/$C$22*22)</f>
        <v>30.6123102415469</v>
      </c>
      <c r="Z42" s="50" t="n">
        <f aca="false">$C$21+($C$20-$C$21)*EXP(-LN(2)/$C$22*23)</f>
        <v>30.2973154717965</v>
      </c>
      <c r="AA42" s="50" t="n">
        <f aca="false">$C$21+($C$20-$C$21)*EXP(-LN(2)/$C$22*24)</f>
        <v>30</v>
      </c>
      <c r="AB42" s="50" t="n">
        <f aca="false">$C$21+($C$20-$C$21)*EXP(-LN(2)/$C$22*25)</f>
        <v>29.7193715634085</v>
      </c>
      <c r="AC42" s="50" t="n">
        <f aca="false">$C$21+($C$20-$C$21)*EXP(-LN(2)/$C$22*26)</f>
        <v>29.4544935907017</v>
      </c>
      <c r="AD42" s="50" t="n">
        <f aca="false">$C$21+($C$20-$C$21)*EXP(-LN(2)/$C$22*27)</f>
        <v>29.2044820762686</v>
      </c>
      <c r="AE42" s="50" t="n">
        <f aca="false">$C$21+($C$20-$C$21)*EXP(-LN(2)/$C$22*28)</f>
        <v>28.9685026299205</v>
      </c>
      <c r="AF42" s="50" t="n">
        <f aca="false">$C$21+($C$20-$C$21)*EXP(-LN(2)/$C$22*29)</f>
        <v>28.7457676921917</v>
      </c>
      <c r="AG42" s="50" t="n">
        <f aca="false">$C$21+($C$20-$C$21)*EXP(-LN(2)/$C$22*30)</f>
        <v>28.5355339059327</v>
      </c>
      <c r="AH42" s="50" t="n">
        <f aca="false">$C$21+($C$20-$C$21)*EXP(-LN(2)/$C$22*31)</f>
        <v>28.3370996354251</v>
      </c>
      <c r="AI42" s="50" t="n">
        <f aca="false">$C$21+($C$20-$C$21)*EXP(-LN(2)/$C$22*32)</f>
        <v>28.1498026247372</v>
      </c>
      <c r="AJ42" s="50" t="n">
        <f aca="false">$C$21+($C$20-$C$21)*EXP(-LN(2)/$C$22*33)</f>
        <v>27.9730177875068</v>
      </c>
      <c r="AK42" s="50" t="n">
        <f aca="false">$C$21+($C$20-$C$21)*EXP(-LN(2)/$C$22*34)</f>
        <v>27.8061551207734</v>
      </c>
      <c r="AL42" s="50" t="n">
        <f aca="false">$C$21+($C$20-$C$21)*EXP(-LN(2)/$C$22*35)</f>
        <v>27.6486577358982</v>
      </c>
    </row>
    <row r="43" customFormat="false" ht="15" hidden="false" customHeight="false" outlineLevel="0" collapsed="false">
      <c r="B43" s="47" t="s">
        <v>222</v>
      </c>
      <c r="C43" s="50" t="n">
        <f aca="false">C40*C41+C39*C42</f>
        <v>5.25</v>
      </c>
      <c r="D43" s="50" t="n">
        <f aca="false">D40*D41+D39*D42</f>
        <v>4.99793572011751</v>
      </c>
      <c r="E43" s="50" t="n">
        <f aca="false">E40*E41+E39*E42</f>
        <v>4.76608741172714</v>
      </c>
      <c r="F43" s="50" t="n">
        <f aca="false">F40*F41+F39*F42</f>
        <v>4.55265833761747</v>
      </c>
      <c r="G43" s="50" t="n">
        <f aca="false">G40*G41+G39*G42</f>
        <v>4.35602483985585</v>
      </c>
      <c r="H43" s="50" t="n">
        <f aca="false">H40*H41+H39*H42</f>
        <v>4.17471874453636</v>
      </c>
      <c r="I43" s="50" t="n">
        <f aca="false">I40*I41+I39*I42</f>
        <v>4.00741161390704</v>
      </c>
      <c r="J43" s="50" t="n">
        <f aca="false">J40*J41+J39*J42</f>
        <v>3.85290064838197</v>
      </c>
      <c r="K43" s="50" t="n">
        <f aca="false">K40*K41+K39*K42</f>
        <v>3.71009606226287</v>
      </c>
      <c r="L43" s="50" t="n">
        <f aca="false">L40*L41+L39*L42</f>
        <v>3.57800977600127</v>
      </c>
      <c r="M43" s="50" t="n">
        <f aca="false">M40*M41+M39*M42</f>
        <v>3.45574528477639</v>
      </c>
      <c r="N43" s="50" t="n">
        <f aca="false">N40*N41+N39*N42</f>
        <v>3.34248857827135</v>
      </c>
      <c r="O43" s="50" t="n">
        <f aca="false">O40*O41+O39*O42</f>
        <v>3.2375</v>
      </c>
      <c r="P43" s="50" t="n">
        <f aca="false">P40*P41+P39*P42</f>
        <v>3.14010694654691</v>
      </c>
      <c r="Q43" s="50" t="n">
        <f aca="false">Q40*Q41+Q39*Q42</f>
        <v>3.04969731779274</v>
      </c>
      <c r="R43" s="50" t="n">
        <f aca="false">R40*R41+R39*R42</f>
        <v>2.96571363874727</v>
      </c>
      <c r="S43" s="50" t="n">
        <f aca="false">S40*S41+S39*S42</f>
        <v>2.88764778212923</v>
      </c>
      <c r="T43" s="50" t="n">
        <f aca="false">T40*T41+T39*T42</f>
        <v>2.81503622842757</v>
      </c>
      <c r="U43" s="50" t="n">
        <f aca="false">U40*U41+U39*U42</f>
        <v>2.74745580695352</v>
      </c>
      <c r="V43" s="50" t="n">
        <f aca="false">V40*V41+V39*V42</f>
        <v>2.68451986743507</v>
      </c>
      <c r="W43" s="50" t="n">
        <f aca="false">W40*W41+W39*W42</f>
        <v>2.62587483709602</v>
      </c>
      <c r="X43" s="50" t="n">
        <f aca="false">X40*X41+X39*X42</f>
        <v>2.5711971229699</v>
      </c>
      <c r="Y43" s="50" t="n">
        <f aca="false">Y40*Y41+Y39*Y42</f>
        <v>2.52019032348884</v>
      </c>
      <c r="Z43" s="50" t="n">
        <f aca="false">Z40*Z41+Z39*Z42</f>
        <v>2.47258271721537</v>
      </c>
      <c r="AA43" s="50" t="n">
        <f aca="false">AA40*AA41+AA39*AA42</f>
        <v>2.428125</v>
      </c>
      <c r="AB43" s="50" t="n">
        <f aca="false">AB40*AB41+AB39*AB42</f>
        <v>2.3865882448955</v>
      </c>
      <c r="AC43" s="50" t="n">
        <f aca="false">AC40*AC41+AC39*AC42</f>
        <v>2.34776206187866</v>
      </c>
      <c r="AD43" s="50" t="n">
        <f aca="false">AD40*AD41+AD39*AD42</f>
        <v>2.31145293685827</v>
      </c>
      <c r="AE43" s="50" t="n">
        <f aca="false">AE40*AE41+AE39*AE42</f>
        <v>2.27748273161494</v>
      </c>
      <c r="AF43" s="50" t="n">
        <f aca="false">AF40*AF41+AF39*AF42</f>
        <v>2.24568732825364</v>
      </c>
      <c r="AG43" s="50" t="n">
        <f aca="false">AG40*AG41+AG39*AG42</f>
        <v>2.21591540347676</v>
      </c>
      <c r="AH43" s="50" t="n">
        <f aca="false">AH40*AH41+AH39*AH42</f>
        <v>2.18802731952855</v>
      </c>
      <c r="AI43" s="50" t="n">
        <f aca="false">AI40*AI41+AI39*AI42</f>
        <v>2.16189412003916</v>
      </c>
      <c r="AJ43" s="50" t="n">
        <f aca="false">AJ40*AJ41+AJ39*AJ42</f>
        <v>2.13739662022727</v>
      </c>
      <c r="AK43" s="50" t="n">
        <f aca="false">AK40*AK41+AK39*AK42</f>
        <v>2.11442458201958</v>
      </c>
      <c r="AL43" s="50" t="n">
        <f aca="false">AL40*AL41+AL39*AL42</f>
        <v>2.09287596562761</v>
      </c>
    </row>
    <row r="44" customFormat="false" ht="15" hidden="false" customHeight="false" outlineLevel="0" collapsed="false">
      <c r="B44" s="40" t="s">
        <v>310</v>
      </c>
      <c r="C44" s="48" t="n">
        <f aca="false">C37*C43</f>
        <v>2625</v>
      </c>
      <c r="D44" s="48" t="n">
        <f aca="false">D37*D43</f>
        <v>2798.8440032658</v>
      </c>
      <c r="E44" s="48" t="n">
        <f aca="false">E37*E43</f>
        <v>2989.29002463526</v>
      </c>
      <c r="F44" s="48" t="n">
        <f aca="false">F37*F43</f>
        <v>3198.07858647612</v>
      </c>
      <c r="G44" s="48" t="n">
        <f aca="false">G37*G43</f>
        <v>3427.14470907704</v>
      </c>
      <c r="H44" s="48" t="n">
        <f aca="false">H37*H43</f>
        <v>3678.6404295664</v>
      </c>
      <c r="I44" s="48" t="n">
        <f aca="false">I37*I43</f>
        <v>3954.95997619977</v>
      </c>
      <c r="J44" s="48" t="n">
        <f aca="false">J37*J43</f>
        <v>4258.76791398043</v>
      </c>
      <c r="K44" s="48" t="n">
        <f aca="false">K37*K43</f>
        <v>4593.03061533963</v>
      </c>
      <c r="L44" s="48" t="n">
        <f aca="false">L37*L43</f>
        <v>4961.05145188912</v>
      </c>
      <c r="M44" s="48" t="n">
        <f aca="false">M37*M43</f>
        <v>5366.51015060835</v>
      </c>
      <c r="N44" s="48" t="n">
        <f aca="false">N37*N43</f>
        <v>5813.50681085163</v>
      </c>
      <c r="O44" s="48" t="n">
        <f aca="false">O37*O43</f>
        <v>6306.61113793542</v>
      </c>
      <c r="P44" s="48" t="n">
        <f aca="false">P37*P43</f>
        <v>6850.917515555</v>
      </c>
      <c r="Q44" s="48" t="n">
        <f aca="false">Q37*Q43</f>
        <v>7452.10661373589</v>
      </c>
      <c r="R44" s="48" t="n">
        <f aca="false">R37*R43</f>
        <v>8116.51431240434</v>
      </c>
      <c r="S44" s="48" t="n">
        <f aca="false">S37*S43</f>
        <v>8851.20881403196</v>
      </c>
      <c r="T44" s="48" t="n">
        <f aca="false">T37*T43</f>
        <v>9664.07692337246</v>
      </c>
      <c r="U44" s="48" t="n">
        <f aca="false">U37*U43</f>
        <v>10563.9205894029</v>
      </c>
      <c r="V44" s="48" t="n">
        <f aca="false">V37*V43</f>
        <v>11560.5649357135</v>
      </c>
      <c r="W44" s="48" t="n">
        <f aca="false">W37*W43</f>
        <v>12664.9791524419</v>
      </c>
      <c r="X44" s="48" t="n">
        <f aca="false">X37*X43</f>
        <v>13889.4117873017</v>
      </c>
      <c r="Y44" s="48" t="n">
        <f aca="false">Y37*Y43</f>
        <v>15247.5421574302</v>
      </c>
      <c r="Z44" s="48" t="n">
        <f aca="false">Z37*Z43</f>
        <v>16754.6498100339</v>
      </c>
      <c r="AA44" s="48" t="n">
        <f aca="false">AA37*AA43</f>
        <v>18427.8041907944</v>
      </c>
      <c r="AB44" s="48" t="n">
        <f aca="false">AB37*AB43</f>
        <v>20286.0769376799</v>
      </c>
      <c r="AC44" s="48" t="n">
        <f aca="false">AC37*AC43</f>
        <v>22350.7795075094</v>
      </c>
      <c r="AD44" s="48" t="n">
        <f aca="false">AD37*AD43</f>
        <v>24645.7291670552</v>
      </c>
      <c r="AE44" s="48" t="n">
        <f aca="false">AE37*AE43</f>
        <v>27197.5467438231</v>
      </c>
      <c r="AF44" s="48" t="n">
        <f aca="false">AF37*AF43</f>
        <v>30035.9899385696</v>
      </c>
      <c r="AG44" s="48" t="n">
        <f aca="false">AG37*AG43</f>
        <v>33194.3264573456</v>
      </c>
      <c r="AH44" s="48" t="n">
        <f aca="false">AH37*AH43</f>
        <v>36709.7517312408</v>
      </c>
      <c r="AI44" s="48" t="n">
        <f aca="false">AI37*AI43</f>
        <v>40623.8565636022</v>
      </c>
      <c r="AJ44" s="48" t="n">
        <f aca="false">AJ37*AJ43</f>
        <v>44983.1506846579</v>
      </c>
      <c r="AK44" s="48" t="n">
        <f aca="false">AK37*AK43</f>
        <v>49839.648910423</v>
      </c>
      <c r="AL44" s="48" t="n">
        <f aca="false">AL37*AL43</f>
        <v>55251.5274056976</v>
      </c>
    </row>
    <row r="45" customFormat="false" ht="15" hidden="false" customHeight="false" outlineLevel="0" collapsed="false">
      <c r="B45" s="47" t="s">
        <v>311</v>
      </c>
      <c r="C45" s="48" t="n">
        <f aca="false">ROUNDUP(C44/(Inputs!$C$24*Inputs!$C$25),0)</f>
        <v>10</v>
      </c>
      <c r="D45" s="48" t="n">
        <f aca="false">ROUNDUP(D44/(Inputs!$C$24*Inputs!$C$25),0)</f>
        <v>11</v>
      </c>
      <c r="E45" s="48" t="n">
        <f aca="false">ROUNDUP(E44/(Inputs!$C$24*Inputs!$C$25),0)</f>
        <v>11</v>
      </c>
      <c r="F45" s="48" t="n">
        <f aca="false">ROUNDUP(F44/(Inputs!$C$24*Inputs!$C$25),0)</f>
        <v>12</v>
      </c>
      <c r="G45" s="48" t="n">
        <f aca="false">ROUNDUP(G44/(Inputs!$C$24*Inputs!$C$25),0)</f>
        <v>13</v>
      </c>
      <c r="H45" s="48" t="n">
        <f aca="false">ROUNDUP(H44/(Inputs!$C$24*Inputs!$C$25),0)</f>
        <v>14</v>
      </c>
      <c r="I45" s="48" t="n">
        <f aca="false">ROUNDUP(I44/(Inputs!$C$24*Inputs!$C$25),0)</f>
        <v>15</v>
      </c>
      <c r="J45" s="48" t="n">
        <f aca="false">ROUNDUP(J44/(Inputs!$C$24*Inputs!$C$25),0)</f>
        <v>16</v>
      </c>
      <c r="K45" s="48" t="n">
        <f aca="false">ROUNDUP(K44/(Inputs!$C$24*Inputs!$C$25),0)</f>
        <v>17</v>
      </c>
      <c r="L45" s="48" t="n">
        <f aca="false">ROUNDUP(L44/(Inputs!$C$24*Inputs!$C$25),0)</f>
        <v>19</v>
      </c>
      <c r="M45" s="48" t="n">
        <f aca="false">ROUNDUP(M44/(Inputs!$C$24*Inputs!$C$25),0)</f>
        <v>20</v>
      </c>
      <c r="N45" s="48" t="n">
        <f aca="false">ROUNDUP(N44/(Inputs!$C$24*Inputs!$C$25),0)</f>
        <v>22</v>
      </c>
      <c r="O45" s="48" t="n">
        <f aca="false">ROUNDUP(O44/(Inputs!$C$24*Inputs!$C$25),0)</f>
        <v>24</v>
      </c>
      <c r="P45" s="48" t="n">
        <f aca="false">ROUNDUP(P44/(Inputs!$C$24*Inputs!$C$25),0)</f>
        <v>26</v>
      </c>
      <c r="Q45" s="48" t="n">
        <f aca="false">ROUNDUP(Q44/(Inputs!$C$24*Inputs!$C$25),0)</f>
        <v>28</v>
      </c>
      <c r="R45" s="48" t="n">
        <f aca="false">ROUNDUP(R44/(Inputs!$C$24*Inputs!$C$25),0)</f>
        <v>30</v>
      </c>
      <c r="S45" s="48" t="n">
        <f aca="false">ROUNDUP(S44/(Inputs!$C$24*Inputs!$C$25),0)</f>
        <v>33</v>
      </c>
      <c r="T45" s="48" t="n">
        <f aca="false">ROUNDUP(T44/(Inputs!$C$24*Inputs!$C$25),0)</f>
        <v>36</v>
      </c>
      <c r="U45" s="48" t="n">
        <f aca="false">ROUNDUP(U44/(Inputs!$C$24*Inputs!$C$25),0)</f>
        <v>39</v>
      </c>
      <c r="V45" s="48" t="n">
        <f aca="false">ROUNDUP(V44/(Inputs!$C$24*Inputs!$C$25),0)</f>
        <v>43</v>
      </c>
      <c r="W45" s="48" t="n">
        <f aca="false">ROUNDUP(W44/(Inputs!$C$24*Inputs!$C$25),0)</f>
        <v>47</v>
      </c>
      <c r="X45" s="48" t="n">
        <f aca="false">ROUNDUP(X44/(Inputs!$C$24*Inputs!$C$25),0)</f>
        <v>51</v>
      </c>
      <c r="Y45" s="48" t="n">
        <f aca="false">ROUNDUP(Y44/(Inputs!$C$24*Inputs!$C$25),0)</f>
        <v>56</v>
      </c>
      <c r="Z45" s="48" t="n">
        <f aca="false">ROUNDUP(Z44/(Inputs!$C$24*Inputs!$C$25),0)</f>
        <v>62</v>
      </c>
      <c r="AA45" s="48" t="n">
        <f aca="false">ROUNDUP(AA44/(Inputs!$C$24*Inputs!$C$25),0)</f>
        <v>68</v>
      </c>
      <c r="AB45" s="48" t="n">
        <f aca="false">ROUNDUP(AB44/(Inputs!$C$24*Inputs!$C$25),0)</f>
        <v>75</v>
      </c>
      <c r="AC45" s="48" t="n">
        <f aca="false">ROUNDUP(AC44/(Inputs!$C$24*Inputs!$C$25),0)</f>
        <v>82</v>
      </c>
      <c r="AD45" s="48" t="n">
        <f aca="false">ROUNDUP(AD44/(Inputs!$C$24*Inputs!$C$25),0)</f>
        <v>91</v>
      </c>
      <c r="AE45" s="48" t="n">
        <f aca="false">ROUNDUP(AE44/(Inputs!$C$24*Inputs!$C$25),0)</f>
        <v>100</v>
      </c>
      <c r="AF45" s="48" t="n">
        <f aca="false">ROUNDUP(AF44/(Inputs!$C$24*Inputs!$C$25),0)</f>
        <v>111</v>
      </c>
      <c r="AG45" s="48" t="n">
        <f aca="false">ROUNDUP(AG44/(Inputs!$C$24*Inputs!$C$25),0)</f>
        <v>122</v>
      </c>
      <c r="AH45" s="48" t="n">
        <f aca="false">ROUNDUP(AH44/(Inputs!$C$24*Inputs!$C$25),0)</f>
        <v>135</v>
      </c>
      <c r="AI45" s="48" t="n">
        <f aca="false">ROUNDUP(AI44/(Inputs!$C$24*Inputs!$C$25),0)</f>
        <v>149</v>
      </c>
      <c r="AJ45" s="48" t="n">
        <f aca="false">ROUNDUP(AJ44/(Inputs!$C$24*Inputs!$C$25),0)</f>
        <v>165</v>
      </c>
      <c r="AK45" s="48" t="n">
        <f aca="false">ROUNDUP(AK44/(Inputs!$C$24*Inputs!$C$25),0)</f>
        <v>183</v>
      </c>
      <c r="AL45" s="48" t="n">
        <f aca="false">ROUNDUP(AL44/(Inputs!$C$24*Inputs!$C$25),0)</f>
        <v>203</v>
      </c>
    </row>
    <row r="46" customFormat="false" ht="15" hidden="false" customHeight="false" outlineLevel="0" collapsed="false">
      <c r="B46" s="40" t="s">
        <v>312</v>
      </c>
      <c r="C46" s="48" t="n">
        <f aca="false">ROUNDUP(C45*Inputs!$C$26,0)</f>
        <v>2</v>
      </c>
      <c r="D46" s="48" t="n">
        <f aca="false">ROUNDUP(D45*Inputs!$C$26,0)</f>
        <v>2</v>
      </c>
      <c r="E46" s="48" t="n">
        <f aca="false">ROUNDUP(E45*Inputs!$C$26,0)</f>
        <v>2</v>
      </c>
      <c r="F46" s="48" t="n">
        <f aca="false">ROUNDUP(F45*Inputs!$C$26,0)</f>
        <v>2</v>
      </c>
      <c r="G46" s="48" t="n">
        <f aca="false">ROUNDUP(G45*Inputs!$C$26,0)</f>
        <v>2</v>
      </c>
      <c r="H46" s="48" t="n">
        <f aca="false">ROUNDUP(H45*Inputs!$C$26,0)</f>
        <v>3</v>
      </c>
      <c r="I46" s="48" t="n">
        <f aca="false">ROUNDUP(I45*Inputs!$C$26,0)</f>
        <v>3</v>
      </c>
      <c r="J46" s="48" t="n">
        <f aca="false">ROUNDUP(J45*Inputs!$C$26,0)</f>
        <v>3</v>
      </c>
      <c r="K46" s="48" t="n">
        <f aca="false">ROUNDUP(K45*Inputs!$C$26,0)</f>
        <v>3</v>
      </c>
      <c r="L46" s="48" t="n">
        <f aca="false">ROUNDUP(L45*Inputs!$C$26,0)</f>
        <v>3</v>
      </c>
      <c r="M46" s="48" t="n">
        <f aca="false">ROUNDUP(M45*Inputs!$C$26,0)</f>
        <v>3</v>
      </c>
      <c r="N46" s="48" t="n">
        <f aca="false">ROUNDUP(N45*Inputs!$C$26,0)</f>
        <v>4</v>
      </c>
      <c r="O46" s="48" t="n">
        <f aca="false">ROUNDUP(O45*Inputs!$C$26,0)</f>
        <v>4</v>
      </c>
      <c r="P46" s="48" t="n">
        <f aca="false">ROUNDUP(P45*Inputs!$C$26,0)</f>
        <v>4</v>
      </c>
      <c r="Q46" s="48" t="n">
        <f aca="false">ROUNDUP(Q45*Inputs!$C$26,0)</f>
        <v>5</v>
      </c>
      <c r="R46" s="48" t="n">
        <f aca="false">ROUNDUP(R45*Inputs!$C$26,0)</f>
        <v>5</v>
      </c>
      <c r="S46" s="48" t="n">
        <f aca="false">ROUNDUP(S45*Inputs!$C$26,0)</f>
        <v>5</v>
      </c>
      <c r="T46" s="48" t="n">
        <f aca="false">ROUNDUP(T45*Inputs!$C$26,0)</f>
        <v>6</v>
      </c>
      <c r="U46" s="48" t="n">
        <f aca="false">ROUNDUP(U45*Inputs!$C$26,0)</f>
        <v>6</v>
      </c>
      <c r="V46" s="48" t="n">
        <f aca="false">ROUNDUP(V45*Inputs!$C$26,0)</f>
        <v>7</v>
      </c>
      <c r="W46" s="48" t="n">
        <f aca="false">ROUNDUP(W45*Inputs!$C$26,0)</f>
        <v>8</v>
      </c>
      <c r="X46" s="48" t="n">
        <f aca="false">ROUNDUP(X45*Inputs!$C$26,0)</f>
        <v>8</v>
      </c>
      <c r="Y46" s="48" t="n">
        <f aca="false">ROUNDUP(Y45*Inputs!$C$26,0)</f>
        <v>9</v>
      </c>
      <c r="Z46" s="48" t="n">
        <f aca="false">ROUNDUP(Z45*Inputs!$C$26,0)</f>
        <v>10</v>
      </c>
      <c r="AA46" s="48" t="n">
        <f aca="false">ROUNDUP(AA45*Inputs!$C$26,0)</f>
        <v>11</v>
      </c>
      <c r="AB46" s="48" t="n">
        <f aca="false">ROUNDUP(AB45*Inputs!$C$26,0)</f>
        <v>12</v>
      </c>
      <c r="AC46" s="48" t="n">
        <f aca="false">ROUNDUP(AC45*Inputs!$C$26,0)</f>
        <v>13</v>
      </c>
      <c r="AD46" s="48" t="n">
        <f aca="false">ROUNDUP(AD45*Inputs!$C$26,0)</f>
        <v>14</v>
      </c>
      <c r="AE46" s="48" t="n">
        <f aca="false">ROUNDUP(AE45*Inputs!$C$26,0)</f>
        <v>15</v>
      </c>
      <c r="AF46" s="48" t="n">
        <f aca="false">ROUNDUP(AF45*Inputs!$C$26,0)</f>
        <v>17</v>
      </c>
      <c r="AG46" s="48" t="n">
        <f aca="false">ROUNDUP(AG45*Inputs!$C$26,0)</f>
        <v>19</v>
      </c>
      <c r="AH46" s="48" t="n">
        <f aca="false">ROUNDUP(AH45*Inputs!$C$26,0)</f>
        <v>21</v>
      </c>
      <c r="AI46" s="48" t="n">
        <f aca="false">ROUNDUP(AI45*Inputs!$C$26,0)</f>
        <v>23</v>
      </c>
      <c r="AJ46" s="48" t="n">
        <f aca="false">ROUNDUP(AJ45*Inputs!$C$26,0)</f>
        <v>25</v>
      </c>
      <c r="AK46" s="48" t="n">
        <f aca="false">ROUNDUP(AK45*Inputs!$C$26,0)</f>
        <v>28</v>
      </c>
      <c r="AL46" s="48" t="n">
        <f aca="false">ROUNDUP(AL45*Inputs!$C$26,0)</f>
        <v>31</v>
      </c>
    </row>
    <row r="47" customFormat="false" ht="15" hidden="false" customHeight="false" outlineLevel="0" collapsed="false">
      <c r="B47" s="47" t="s">
        <v>246</v>
      </c>
      <c r="C47" s="50" t="n">
        <f aca="false">IFERROR(C36/C45,0)</f>
        <v>25</v>
      </c>
      <c r="D47" s="50" t="n">
        <f aca="false">IFERROR(D36/D45,0)</f>
        <v>25.4545454545455</v>
      </c>
      <c r="E47" s="50" t="n">
        <f aca="false">IFERROR(E36/E45,0)</f>
        <v>28.5090909090909</v>
      </c>
      <c r="F47" s="50" t="n">
        <f aca="false">IFERROR(F36/F45,0)</f>
        <v>29.2693333333333</v>
      </c>
      <c r="G47" s="50" t="n">
        <f aca="false">IFERROR(G36/G45,0)</f>
        <v>30.2599876923077</v>
      </c>
      <c r="H47" s="50" t="n">
        <f aca="false">IFERROR(H36/H45,0)</f>
        <v>31.4703872</v>
      </c>
      <c r="I47" s="50" t="n">
        <f aca="false">IFERROR(I36/I45,0)</f>
        <v>32.8970447530667</v>
      </c>
      <c r="J47" s="50" t="n">
        <f aca="false">IFERROR(J36/J45,0)</f>
        <v>34.54189699072</v>
      </c>
      <c r="K47" s="50" t="n">
        <f aca="false">IFERROR(K36/K45,0)</f>
        <v>36.4112231808061</v>
      </c>
      <c r="L47" s="50" t="n">
        <f aca="false">IFERROR(L36/L45,0)</f>
        <v>36.4878783875025</v>
      </c>
      <c r="M47" s="50" t="n">
        <f aca="false">IFERROR(M36/M45,0)</f>
        <v>38.8231026043027</v>
      </c>
      <c r="N47" s="50" t="n">
        <f aca="false">IFERROR(N36/N45,0)</f>
        <v>39.5289771971082</v>
      </c>
      <c r="O47" s="50" t="n">
        <f aca="false">IFERROR(O36/O45,0)</f>
        <v>40.5830832556977</v>
      </c>
      <c r="P47" s="50" t="n">
        <f aca="false">IFERROR(P36/P45,0)</f>
        <v>41.9566645351213</v>
      </c>
      <c r="Q47" s="50" t="n">
        <f aca="false">IFERROR(Q36/Q45,0)</f>
        <v>43.6349311165262</v>
      </c>
      <c r="R47" s="50" t="n">
        <f aca="false">IFERROR(R36/R45,0)</f>
        <v>45.6130479938087</v>
      </c>
      <c r="S47" s="50" t="n">
        <f aca="false">IFERROR(S36/S45,0)</f>
        <v>46.4423761391507</v>
      </c>
      <c r="T47" s="50" t="n">
        <f aca="false">IFERROR(T36/T45,0)</f>
        <v>47.6808395028614</v>
      </c>
      <c r="U47" s="50" t="n">
        <f aca="false">IFERROR(U36/U45,0)</f>
        <v>49.294652532189</v>
      </c>
      <c r="V47" s="50" t="n">
        <f aca="false">IFERROR(V36/V45,0)</f>
        <v>50.0741958745585</v>
      </c>
      <c r="W47" s="50" t="n">
        <f aca="false">IFERROR(W36/W45,0)</f>
        <v>51.3100696450795</v>
      </c>
      <c r="X47" s="50" t="n">
        <f aca="false">IFERROR(X36/X45,0)</f>
        <v>52.9600405120978</v>
      </c>
      <c r="Y47" s="50" t="n">
        <f aca="false">IFERROR(Y36/Y45,0)</f>
        <v>54.0192413223397</v>
      </c>
      <c r="Z47" s="50" t="n">
        <f aca="false">IFERROR(Z36/Z45,0)</f>
        <v>54.6465615441476</v>
      </c>
      <c r="AA47" s="50" t="n">
        <f aca="false">IFERROR(AA36/AA45,0)</f>
        <v>55.8037828474354</v>
      </c>
      <c r="AB47" s="50" t="n">
        <f aca="false">IFERROR(AB36/AB45,0)</f>
        <v>56.6668813554757</v>
      </c>
      <c r="AC47" s="50" t="n">
        <f aca="false">IFERROR(AC36/AC45,0)</f>
        <v>58.0490004129264</v>
      </c>
      <c r="AD47" s="50" t="n">
        <f aca="false">IFERROR(AD36/AD45,0)</f>
        <v>58.5848373398149</v>
      </c>
      <c r="AE47" s="50" t="n">
        <f aca="false">IFERROR(AE36/AE45,0)</f>
        <v>59.7096662167394</v>
      </c>
      <c r="AF47" s="50" t="n">
        <f aca="false">IFERROR(AF36/AF45,0)</f>
        <v>60.2475911376109</v>
      </c>
      <c r="AG47" s="50" t="n">
        <f aca="false">IFERROR(AG36/AG45,0)</f>
        <v>61.393283034654</v>
      </c>
      <c r="AH47" s="50" t="n">
        <f aca="false">IFERROR(AH36/AH45,0)</f>
        <v>62.1390977322602</v>
      </c>
      <c r="AI47" s="50" t="n">
        <f aca="false">IFERROR(AI36/AI45,0)</f>
        <v>63.0565877658909</v>
      </c>
      <c r="AJ47" s="50" t="n">
        <f aca="false">IFERROR(AJ36/AJ45,0)</f>
        <v>63.7750507052841</v>
      </c>
      <c r="AK47" s="50" t="n">
        <f aca="false">IFERROR(AK36/AK45,0)</f>
        <v>64.4023462859918</v>
      </c>
      <c r="AL47" s="50" t="n">
        <f aca="false">IFERROR(AL36/AL45,0)</f>
        <v>65.0241620432359</v>
      </c>
    </row>
    <row r="48" customFormat="false" ht="15" hidden="false" customHeight="false" outlineLevel="0" collapsed="false">
      <c r="B48" s="40" t="s">
        <v>313</v>
      </c>
      <c r="C48" s="50" t="n">
        <f aca="false">(1+$C$28)^(0/12)</f>
        <v>1</v>
      </c>
      <c r="D48" s="50" t="n">
        <f aca="false">(1+$C$28)^(1/12)</f>
        <v>1.00720732331614</v>
      </c>
      <c r="E48" s="50" t="n">
        <f aca="false">(1+$C$28)^(2/12)</f>
        <v>1.01446659214166</v>
      </c>
      <c r="F48" s="50" t="n">
        <f aca="false">(1+$C$28)^(3/12)</f>
        <v>1.02177818086464</v>
      </c>
      <c r="G48" s="50" t="n">
        <f aca="false">(1+$C$28)^(4/12)</f>
        <v>1.02914246657151</v>
      </c>
      <c r="H48" s="50" t="n">
        <f aca="false">(1+$C$28)^(5/12)</f>
        <v>1.03655982906645</v>
      </c>
      <c r="I48" s="50" t="n">
        <f aca="false">(1+$C$28)^(6/12)</f>
        <v>1.04403065089106</v>
      </c>
      <c r="J48" s="50" t="n">
        <f aca="false">(1+$C$28)^(7/12)</f>
        <v>1.05155531734398</v>
      </c>
      <c r="K48" s="50" t="n">
        <f aca="false">(1+$C$28)^(8/12)</f>
        <v>1.05913421650088</v>
      </c>
      <c r="L48" s="50" t="n">
        <f aca="false">(1+$C$28)^(9/12)</f>
        <v>1.06676773923439</v>
      </c>
      <c r="M48" s="50" t="n">
        <f aca="false">(1+$C$28)^(10/12)</f>
        <v>1.07445627923428</v>
      </c>
      <c r="N48" s="50" t="n">
        <f aca="false">(1+$C$28)^(11/12)</f>
        <v>1.08220023302777</v>
      </c>
      <c r="O48" s="50" t="n">
        <f aca="false">(1+$C$28)^(12/12)</f>
        <v>1.09</v>
      </c>
      <c r="P48" s="50" t="n">
        <f aca="false">(1+$C$28)^(13/12)</f>
        <v>1.09785598241459</v>
      </c>
      <c r="Q48" s="50" t="n">
        <f aca="false">(1+$C$28)^(14/12)</f>
        <v>1.10576858543441</v>
      </c>
      <c r="R48" s="50" t="n">
        <f aca="false">(1+$C$28)^(15/12)</f>
        <v>1.11373821714246</v>
      </c>
      <c r="S48" s="50" t="n">
        <f aca="false">(1+$C$28)^(16/12)</f>
        <v>1.12176528856294</v>
      </c>
      <c r="T48" s="50" t="n">
        <f aca="false">(1+$C$28)^(17/12)</f>
        <v>1.12985021368243</v>
      </c>
      <c r="U48" s="50" t="n">
        <f aca="false">(1+$C$28)^(18/12)</f>
        <v>1.13799340947125</v>
      </c>
      <c r="V48" s="50" t="n">
        <f aca="false">(1+$C$28)^(19/12)</f>
        <v>1.14619529590494</v>
      </c>
      <c r="W48" s="50" t="n">
        <f aca="false">(1+$C$28)^(20/12)</f>
        <v>1.15445629598596</v>
      </c>
      <c r="X48" s="50" t="n">
        <f aca="false">(1+$C$28)^(21/12)</f>
        <v>1.16277683576548</v>
      </c>
      <c r="Y48" s="50" t="n">
        <f aca="false">(1+$C$28)^(22/12)</f>
        <v>1.17115734436536</v>
      </c>
      <c r="Z48" s="50" t="n">
        <f aca="false">(1+$C$28)^(23/12)</f>
        <v>1.17959825400027</v>
      </c>
      <c r="AA48" s="50" t="n">
        <f aca="false">(1+$C$28)^(24/12)</f>
        <v>1.1881</v>
      </c>
      <c r="AB48" s="50" t="n">
        <f aca="false">(1+$C$28)^(25/12)</f>
        <v>1.1966630208319</v>
      </c>
      <c r="AC48" s="50" t="n">
        <f aca="false">(1+$C$28)^(26/12)</f>
        <v>1.2052877581235</v>
      </c>
      <c r="AD48" s="50" t="n">
        <f aca="false">(1+$C$28)^(27/12)</f>
        <v>1.21397465668528</v>
      </c>
      <c r="AE48" s="50" t="n">
        <f aca="false">(1+$C$28)^(28/12)</f>
        <v>1.22272416453361</v>
      </c>
      <c r="AF48" s="50" t="n">
        <f aca="false">(1+$C$28)^(29/12)</f>
        <v>1.23153673291385</v>
      </c>
      <c r="AG48" s="50" t="n">
        <f aca="false">(1+$C$28)^(30/12)</f>
        <v>1.24041281632366</v>
      </c>
      <c r="AH48" s="50" t="n">
        <f aca="false">(1+$C$28)^(31/12)</f>
        <v>1.24935287253639</v>
      </c>
      <c r="AI48" s="50" t="n">
        <f aca="false">(1+$C$28)^(32/12)</f>
        <v>1.2583573626247</v>
      </c>
      <c r="AJ48" s="50" t="n">
        <f aca="false">(1+$C$28)^(33/12)</f>
        <v>1.26742675098438</v>
      </c>
      <c r="AK48" s="50" t="n">
        <f aca="false">(1+$C$28)^(34/12)</f>
        <v>1.27656150535824</v>
      </c>
      <c r="AL48" s="50" t="n">
        <f aca="false">(1+$C$28)^(35/12)</f>
        <v>1.28576209686029</v>
      </c>
    </row>
    <row r="49" customFormat="false" ht="15" hidden="false" customHeight="false" outlineLevel="0" collapsed="false">
      <c r="B49" s="40" t="s">
        <v>314</v>
      </c>
      <c r="C49" s="51" t="n">
        <f aca="false">(C45*Inputs!$C$22+C46*Inputs!$C$27)*(1+Inputs!$C$23)/12*C48</f>
        <v>740000</v>
      </c>
      <c r="D49" s="51" t="n">
        <f aca="false">(D45*Inputs!$C$22+D46*Inputs!$C$27)*(1+Inputs!$C$23)/12*D48</f>
        <v>795693.785419748</v>
      </c>
      <c r="E49" s="51" t="n">
        <f aca="false">(E45*Inputs!$C$22+E46*Inputs!$C$27)*(1+Inputs!$C$23)/12*E48</f>
        <v>801428.607791909</v>
      </c>
      <c r="F49" s="51" t="n">
        <f aca="false">(F45*Inputs!$C$22+F46*Inputs!$C$27)*(1+Inputs!$C$23)/12*F48</f>
        <v>858293.671926299</v>
      </c>
      <c r="G49" s="51" t="n">
        <f aca="false">(G45*Inputs!$C$22+G46*Inputs!$C$27)*(1+Inputs!$C$23)/12*G48</f>
        <v>915936.795248641</v>
      </c>
      <c r="H49" s="51" t="n">
        <f aca="false">(H45*Inputs!$C$22+H46*Inputs!$C$27)*(1+Inputs!$C$23)/12*H48</f>
        <v>1098753.41881044</v>
      </c>
      <c r="I49" s="51" t="n">
        <f aca="false">(I45*Inputs!$C$22+I46*Inputs!$C$27)*(1+Inputs!$C$23)/12*I48</f>
        <v>1158874.02248907</v>
      </c>
      <c r="J49" s="51" t="n">
        <f aca="false">(J45*Inputs!$C$22+J46*Inputs!$C$27)*(1+Inputs!$C$23)/12*J48</f>
        <v>1219804.16811902</v>
      </c>
      <c r="K49" s="51" t="n">
        <f aca="false">(K45*Inputs!$C$22+K46*Inputs!$C$27)*(1+Inputs!$C$23)/12*K48</f>
        <v>1281552.40196607</v>
      </c>
      <c r="L49" s="51" t="n">
        <f aca="false">(L45*Inputs!$C$22+L46*Inputs!$C$27)*(1+Inputs!$C$23)/12*L48</f>
        <v>1397465.73839705</v>
      </c>
      <c r="M49" s="51" t="n">
        <f aca="false">(M45*Inputs!$C$22+M46*Inputs!$C$27)*(1+Inputs!$C$23)/12*M48</f>
        <v>1461260.53975862</v>
      </c>
      <c r="N49" s="51" t="n">
        <f aca="false">(N45*Inputs!$C$22+N46*Inputs!$C$27)*(1+Inputs!$C$23)/12*N48</f>
        <v>1709876.36818388</v>
      </c>
      <c r="O49" s="51" t="n">
        <f aca="false">(O45*Inputs!$C$22+O46*Inputs!$C$27)*(1+Inputs!$C$23)/12*O48</f>
        <v>1831200</v>
      </c>
      <c r="P49" s="51" t="n">
        <f aca="false">(P45*Inputs!$C$22+P46*Inputs!$C$27)*(1+Inputs!$C$23)/12*P48</f>
        <v>1954183.64869797</v>
      </c>
      <c r="Q49" s="51" t="n">
        <f aca="false">(Q45*Inputs!$C$22+Q46*Inputs!$C$27)*(1+Inputs!$C$23)/12*Q48</f>
        <v>2211537.17086881</v>
      </c>
      <c r="R49" s="51" t="n">
        <f aca="false">(R45*Inputs!$C$22+R46*Inputs!$C$27)*(1+Inputs!$C$23)/12*R48</f>
        <v>2338850.25599916</v>
      </c>
      <c r="S49" s="51" t="n">
        <f aca="false">(S45*Inputs!$C$22+S46*Inputs!$C$27)*(1+Inputs!$C$23)/12*S48</f>
        <v>2523971.89926662</v>
      </c>
      <c r="T49" s="51" t="n">
        <f aca="false">(T45*Inputs!$C$22+T46*Inputs!$C$27)*(1+Inputs!$C$23)/12*T48</f>
        <v>2847222.53847974</v>
      </c>
      <c r="U49" s="51" t="n">
        <f aca="false">(U45*Inputs!$C$22+U46*Inputs!$C$27)*(1+Inputs!$C$23)/12*U48</f>
        <v>3038442.40328824</v>
      </c>
      <c r="V49" s="51" t="n">
        <f aca="false">(V45*Inputs!$C$22+V46*Inputs!$C$27)*(1+Inputs!$C$23)/12*V48</f>
        <v>3427123.93475578</v>
      </c>
      <c r="W49" s="51" t="n">
        <f aca="false">(W45*Inputs!$C$22+W46*Inputs!$C$27)*(1+Inputs!$C$23)/12*W48</f>
        <v>3821250.33971354</v>
      </c>
      <c r="X49" s="51" t="n">
        <f aca="false">(X45*Inputs!$C$22+X46*Inputs!$C$27)*(1+Inputs!$C$23)/12*X48</f>
        <v>4081346.69353685</v>
      </c>
      <c r="Y49" s="51" t="n">
        <f aca="false">(Y45*Inputs!$C$22+Y46*Inputs!$C$27)*(1+Inputs!$C$23)/12*Y48</f>
        <v>4544090.4961376</v>
      </c>
      <c r="Z49" s="51" t="n">
        <f aca="false">(Z45*Inputs!$C$22+Z46*Inputs!$C$27)*(1+Inputs!$C$23)/12*Z48</f>
        <v>5072272.49220116</v>
      </c>
      <c r="AA49" s="51" t="n">
        <f aca="false">(AA45*Inputs!$C$22+AA46*Inputs!$C$27)*(1+Inputs!$C$23)/12*AA48</f>
        <v>5607832</v>
      </c>
      <c r="AB49" s="51" t="n">
        <f aca="false">(AB45*Inputs!$C$22+AB46*Inputs!$C$27)*(1+Inputs!$C$23)/12*AB48</f>
        <v>6210681.07811757</v>
      </c>
      <c r="AC49" s="51" t="n">
        <f aca="false">(AC45*Inputs!$C$22+AC46*Inputs!$C$27)*(1+Inputs!$C$23)/12*AC48</f>
        <v>6821928.71097902</v>
      </c>
      <c r="AD49" s="51" t="n">
        <f aca="false">(AD45*Inputs!$C$22+AD46*Inputs!$C$27)*(1+Inputs!$C$23)/12*AD48</f>
        <v>7563062.1111493</v>
      </c>
      <c r="AE49" s="51" t="n">
        <f aca="false">(AE45*Inputs!$C$22+AE46*Inputs!$C$27)*(1+Inputs!$C$23)/12*AE48</f>
        <v>8314524.31882853</v>
      </c>
      <c r="AF49" s="51" t="n">
        <f aca="false">(AF45*Inputs!$C$22+AF46*Inputs!$C$27)*(1+Inputs!$C$23)/12*AF48</f>
        <v>9347363.80281615</v>
      </c>
      <c r="AG49" s="51" t="n">
        <f aca="false">(AG45*Inputs!$C$22+AG46*Inputs!$C$27)*(1+Inputs!$C$23)/12*AG48</f>
        <v>10394659.4007923</v>
      </c>
      <c r="AH49" s="51" t="n">
        <f aca="false">(AH45*Inputs!$C$22+AH46*Inputs!$C$27)*(1+Inputs!$C$23)/12*AH48</f>
        <v>11581501.1284123</v>
      </c>
      <c r="AI49" s="51" t="n">
        <f aca="false">(AI45*Inputs!$C$22+AI46*Inputs!$C$27)*(1+Inputs!$C$23)/12*AI48</f>
        <v>12847828.6723982</v>
      </c>
      <c r="AJ49" s="51" t="n">
        <f aca="false">(AJ45*Inputs!$C$22+AJ46*Inputs!$C$27)*(1+Inputs!$C$23)/12*AJ48</f>
        <v>14258550.9485743</v>
      </c>
      <c r="AK49" s="51" t="n">
        <f aca="false">(AK45*Inputs!$C$22+AK46*Inputs!$C$27)*(1+Inputs!$C$23)/12*AK48</f>
        <v>15969784.4320316</v>
      </c>
      <c r="AL49" s="51" t="n">
        <f aca="false">(AL45*Inputs!$C$22+AL46*Inputs!$C$27)*(1+Inputs!$C$23)/12*AL48</f>
        <v>17833520.2834523</v>
      </c>
    </row>
    <row r="50" customFormat="false" ht="15" hidden="false" customHeight="false" outlineLevel="0" collapsed="false">
      <c r="B50" s="40" t="s">
        <v>315</v>
      </c>
      <c r="C50" s="52" t="n">
        <f aca="false">$C$14*(1-$C$15)^0</f>
        <v>0.3</v>
      </c>
      <c r="D50" s="52" t="n">
        <f aca="false">$C$14*(1-$C$15)^1</f>
        <v>0.282</v>
      </c>
      <c r="E50" s="52" t="n">
        <f aca="false">$C$14*(1-$C$15)^2</f>
        <v>0.26508</v>
      </c>
      <c r="F50" s="52" t="n">
        <f aca="false">$C$14*(1-$C$15)^3</f>
        <v>0.2491752</v>
      </c>
      <c r="G50" s="52" t="n">
        <f aca="false">$C$14*(1-$C$15)^4</f>
        <v>0.234224688</v>
      </c>
      <c r="H50" s="52" t="n">
        <f aca="false">$C$14*(1-$C$15)^5</f>
        <v>0.22017120672</v>
      </c>
      <c r="I50" s="52" t="n">
        <f aca="false">$C$14*(1-$C$15)^6</f>
        <v>0.2069609343168</v>
      </c>
      <c r="J50" s="52" t="n">
        <f aca="false">$C$14*(1-$C$15)^7</f>
        <v>0.194543278257792</v>
      </c>
      <c r="K50" s="52" t="n">
        <f aca="false">$C$14*(1-$C$15)^8</f>
        <v>0.182870681562324</v>
      </c>
      <c r="L50" s="52" t="n">
        <f aca="false">$C$14*(1-$C$15)^9</f>
        <v>0.171898440668585</v>
      </c>
      <c r="M50" s="52" t="n">
        <f aca="false">$C$14*(1-$C$15)^10</f>
        <v>0.16158453422847</v>
      </c>
      <c r="N50" s="52" t="n">
        <f aca="false">$C$14*(1-$C$15)^11</f>
        <v>0.151889462174762</v>
      </c>
      <c r="O50" s="52" t="n">
        <f aca="false">$C$14*(1-$C$15)^12</f>
        <v>0.142776094444276</v>
      </c>
      <c r="P50" s="52" t="n">
        <f aca="false">$C$14*(1-$C$15)^13</f>
        <v>0.134209528777619</v>
      </c>
      <c r="Q50" s="52" t="n">
        <f aca="false">$C$14*(1-$C$15)^14</f>
        <v>0.126156957050962</v>
      </c>
      <c r="R50" s="52" t="n">
        <f aca="false">$C$14*(1-$C$15)^15</f>
        <v>0.118587539627904</v>
      </c>
      <c r="S50" s="52" t="n">
        <f aca="false">$C$14*(1-$C$15)^16</f>
        <v>0.11147228725023</v>
      </c>
      <c r="T50" s="52" t="n">
        <f aca="false">$C$14*(1-$C$15)^17</f>
        <v>0.104783950015216</v>
      </c>
      <c r="U50" s="52" t="n">
        <f aca="false">$C$14*(1-$C$15)^18</f>
        <v>0.0984969130143034</v>
      </c>
      <c r="V50" s="52" t="n">
        <f aca="false">$C$14*(1-$C$15)^19</f>
        <v>0.0925870982334452</v>
      </c>
      <c r="W50" s="52" t="n">
        <f aca="false">$C$14*(1-$C$15)^20</f>
        <v>0.0870318723394385</v>
      </c>
      <c r="X50" s="52" t="n">
        <f aca="false">$C$14*(1-$C$15)^21</f>
        <v>0.0818099599990721</v>
      </c>
      <c r="Y50" s="52" t="n">
        <f aca="false">$C$14*(1-$C$15)^22</f>
        <v>0.0769013623991278</v>
      </c>
      <c r="Z50" s="52" t="n">
        <f aca="false">$C$14*(1-$C$15)^23</f>
        <v>0.0722872806551801</v>
      </c>
      <c r="AA50" s="52" t="n">
        <f aca="false">$C$14*(1-$C$15)^24</f>
        <v>0.0679500438158693</v>
      </c>
      <c r="AB50" s="52" t="n">
        <f aca="false">$C$14*(1-$C$15)^25</f>
        <v>0.0638730411869172</v>
      </c>
      <c r="AC50" s="52" t="n">
        <f aca="false">$C$14*(1-$C$15)^26</f>
        <v>0.0600406587157021</v>
      </c>
      <c r="AD50" s="52" t="n">
        <f aca="false">$C$14*(1-$C$15)^27</f>
        <v>0.05643821919276</v>
      </c>
      <c r="AE50" s="52" t="n">
        <f aca="false">$C$14*(1-$C$15)^28</f>
        <v>0.0530519260411944</v>
      </c>
      <c r="AF50" s="52" t="n">
        <f aca="false">$C$14*(1-$C$15)^29</f>
        <v>0.0498688104787227</v>
      </c>
      <c r="AG50" s="52" t="n">
        <f aca="false">$C$14*(1-$C$15)^30</f>
        <v>0.0468766818499994</v>
      </c>
      <c r="AH50" s="52" t="n">
        <f aca="false">$C$14*(1-$C$15)^31</f>
        <v>0.0440640809389994</v>
      </c>
      <c r="AI50" s="52" t="n">
        <f aca="false">$C$14*(1-$C$15)^32</f>
        <v>0.0414202360826594</v>
      </c>
      <c r="AJ50" s="52" t="n">
        <f aca="false">$C$14*(1-$C$15)^33</f>
        <v>0.0389350219176999</v>
      </c>
      <c r="AK50" s="52" t="n">
        <f aca="false">$C$14*(1-$C$15)^34</f>
        <v>0.0365989206026379</v>
      </c>
      <c r="AL50" s="52" t="n">
        <f aca="false">$C$14*(1-$C$15)^35</f>
        <v>0.0344029853664796</v>
      </c>
    </row>
    <row r="51" customFormat="false" ht="15" hidden="false" customHeight="false" outlineLevel="0" collapsed="false">
      <c r="B51" s="40" t="s">
        <v>316</v>
      </c>
      <c r="C51" s="51" t="n">
        <f aca="false">C37*Inputs!$C$7*C50*Inputs!$C$19</f>
        <v>396000</v>
      </c>
      <c r="D51" s="51" t="n">
        <f aca="false">D37*Inputs!$C$7*D50*Inputs!$C$19</f>
        <v>416908.8</v>
      </c>
      <c r="E51" s="51" t="n">
        <f aca="false">E37*Inputs!$C$7*E50*Inputs!$C$19</f>
        <v>438921.58464</v>
      </c>
      <c r="F51" s="51" t="n">
        <f aca="false">F37*Inputs!$C$7*F50*Inputs!$C$19</f>
        <v>462096.644308992</v>
      </c>
      <c r="G51" s="51" t="n">
        <f aca="false">G37*Inputs!$C$7*G50*Inputs!$C$19</f>
        <v>486495.347128507</v>
      </c>
      <c r="H51" s="51" t="n">
        <f aca="false">H37*Inputs!$C$7*H50*Inputs!$C$19</f>
        <v>512182.301456892</v>
      </c>
      <c r="I51" s="51" t="n">
        <f aca="false">I37*Inputs!$C$7*I50*Inputs!$C$19</f>
        <v>539225.526973816</v>
      </c>
      <c r="J51" s="51" t="n">
        <f aca="false">J37*Inputs!$C$7*J50*Inputs!$C$19</f>
        <v>567696.634798033</v>
      </c>
      <c r="K51" s="51" t="n">
        <f aca="false">K37*Inputs!$C$7*K50*Inputs!$C$19</f>
        <v>597671.01711537</v>
      </c>
      <c r="L51" s="51" t="n">
        <f aca="false">L37*Inputs!$C$7*L50*Inputs!$C$19</f>
        <v>629228.046819061</v>
      </c>
      <c r="M51" s="51" t="n">
        <f aca="false">M37*Inputs!$C$7*M50*Inputs!$C$19</f>
        <v>662451.287691108</v>
      </c>
      <c r="N51" s="51" t="n">
        <f aca="false">N37*Inputs!$C$7*N50*Inputs!$C$19</f>
        <v>697428.715681198</v>
      </c>
      <c r="O51" s="51" t="n">
        <f aca="false">O37*Inputs!$C$7*O50*Inputs!$C$19</f>
        <v>734252.951869165</v>
      </c>
      <c r="P51" s="51" t="n">
        <f aca="false">P37*Inputs!$C$7*P50*Inputs!$C$19</f>
        <v>773021.507727857</v>
      </c>
      <c r="Q51" s="51" t="n">
        <f aca="false">Q37*Inputs!$C$7*Q50*Inputs!$C$19</f>
        <v>813837.043335888</v>
      </c>
      <c r="R51" s="51" t="n">
        <f aca="false">R37*Inputs!$C$7*R50*Inputs!$C$19</f>
        <v>856807.639224023</v>
      </c>
      <c r="S51" s="51" t="n">
        <f aca="false">S37*Inputs!$C$7*S50*Inputs!$C$19</f>
        <v>902047.082575052</v>
      </c>
      <c r="T51" s="51" t="n">
        <f aca="false">T37*Inputs!$C$7*T50*Inputs!$C$19</f>
        <v>949675.168535014</v>
      </c>
      <c r="U51" s="51" t="n">
        <f aca="false">U37*Inputs!$C$7*U50*Inputs!$C$19</f>
        <v>999818.017433663</v>
      </c>
      <c r="V51" s="51" t="n">
        <f aca="false">V37*Inputs!$C$7*V50*Inputs!$C$19</f>
        <v>1052608.40875416</v>
      </c>
      <c r="W51" s="51" t="n">
        <f aca="false">W37*Inputs!$C$7*W50*Inputs!$C$19</f>
        <v>1108186.13273638</v>
      </c>
      <c r="X51" s="51" t="n">
        <f aca="false">X37*Inputs!$C$7*X50*Inputs!$C$19</f>
        <v>1166698.36054486</v>
      </c>
      <c r="Y51" s="51" t="n">
        <f aca="false">Y37*Inputs!$C$7*Y50*Inputs!$C$19</f>
        <v>1228300.03398163</v>
      </c>
      <c r="Z51" s="51" t="n">
        <f aca="false">Z37*Inputs!$C$7*Z50*Inputs!$C$19</f>
        <v>1293154.27577586</v>
      </c>
      <c r="AA51" s="51" t="n">
        <f aca="false">AA37*Inputs!$C$7*AA50*Inputs!$C$19</f>
        <v>1361432.82153683</v>
      </c>
      <c r="AB51" s="51" t="n">
        <f aca="false">AB37*Inputs!$C$7*AB50*Inputs!$C$19</f>
        <v>1433316.47451397</v>
      </c>
      <c r="AC51" s="51" t="n">
        <f aca="false">AC37*Inputs!$C$7*AC50*Inputs!$C$19</f>
        <v>1508995.58436831</v>
      </c>
      <c r="AD51" s="51" t="n">
        <f aca="false">AD37*Inputs!$C$7*AD50*Inputs!$C$19</f>
        <v>1588670.55122295</v>
      </c>
      <c r="AE51" s="51" t="n">
        <f aca="false">AE37*Inputs!$C$7*AE50*Inputs!$C$19</f>
        <v>1672552.35632753</v>
      </c>
      <c r="AF51" s="51" t="n">
        <f aca="false">AF37*Inputs!$C$7*AF50*Inputs!$C$19</f>
        <v>1760863.12074162</v>
      </c>
      <c r="AG51" s="51" t="n">
        <f aca="false">AG37*Inputs!$C$7*AG50*Inputs!$C$19</f>
        <v>1853836.69351678</v>
      </c>
      <c r="AH51" s="51" t="n">
        <f aca="false">AH37*Inputs!$C$7*AH50*Inputs!$C$19</f>
        <v>1951719.27093446</v>
      </c>
      <c r="AI51" s="51" t="n">
        <f aca="false">AI37*Inputs!$C$7*AI50*Inputs!$C$19</f>
        <v>2054770.0484398</v>
      </c>
      <c r="AJ51" s="51" t="n">
        <f aca="false">AJ37*Inputs!$C$7*AJ50*Inputs!$C$19</f>
        <v>2163261.90699743</v>
      </c>
      <c r="AK51" s="51" t="n">
        <f aca="false">AK37*Inputs!$C$7*AK50*Inputs!$C$19</f>
        <v>2277482.13568689</v>
      </c>
      <c r="AL51" s="51" t="n">
        <f aca="false">AL37*Inputs!$C$7*AL50*Inputs!$C$19</f>
        <v>2397733.19245116</v>
      </c>
    </row>
    <row r="52" customFormat="false" ht="15" hidden="false" customHeight="false" outlineLevel="0" collapsed="false">
      <c r="B52" s="40" t="s">
        <v>317</v>
      </c>
      <c r="C52" s="51" t="n">
        <f aca="false">$C$29*(1+$C$30)^0</f>
        <v>2000000</v>
      </c>
      <c r="D52" s="51" t="n">
        <f aca="false">$C$29*(1+$C$30)^1</f>
        <v>2040000</v>
      </c>
      <c r="E52" s="51" t="n">
        <f aca="false">$C$29*(1+$C$30)^2</f>
        <v>2080800</v>
      </c>
      <c r="F52" s="51" t="n">
        <f aca="false">$C$29*(1+$C$30)^3</f>
        <v>2122416</v>
      </c>
      <c r="G52" s="51" t="n">
        <f aca="false">$C$29*(1+$C$30)^4</f>
        <v>2164864.32</v>
      </c>
      <c r="H52" s="51" t="n">
        <f aca="false">$C$29*(1+$C$30)^5</f>
        <v>2208161.6064</v>
      </c>
      <c r="I52" s="51" t="n">
        <f aca="false">$C$29*(1+$C$30)^6</f>
        <v>2252324.838528</v>
      </c>
      <c r="J52" s="51" t="n">
        <f aca="false">$C$29*(1+$C$30)^7</f>
        <v>2297371.33529856</v>
      </c>
      <c r="K52" s="51" t="n">
        <f aca="false">$C$29*(1+$C$30)^8</f>
        <v>2343318.76200453</v>
      </c>
      <c r="L52" s="51" t="n">
        <f aca="false">$C$29*(1+$C$30)^9</f>
        <v>2390185.13724462</v>
      </c>
      <c r="M52" s="51" t="n">
        <f aca="false">$C$29*(1+$C$30)^10</f>
        <v>2437988.83998951</v>
      </c>
      <c r="N52" s="51" t="n">
        <f aca="false">$C$29*(1+$C$30)^11</f>
        <v>2486748.61678931</v>
      </c>
      <c r="O52" s="51" t="n">
        <f aca="false">$C$29*(1+$C$30)^12</f>
        <v>2536483.58912509</v>
      </c>
      <c r="P52" s="51" t="n">
        <f aca="false">$C$29*(1+$C$30)^13</f>
        <v>2587213.26090759</v>
      </c>
      <c r="Q52" s="51" t="n">
        <f aca="false">$C$29*(1+$C$30)^14</f>
        <v>2638957.52612575</v>
      </c>
      <c r="R52" s="51" t="n">
        <f aca="false">$C$29*(1+$C$30)^15</f>
        <v>2691736.67664826</v>
      </c>
      <c r="S52" s="51" t="n">
        <f aca="false">$C$29*(1+$C$30)^16</f>
        <v>2745571.41018123</v>
      </c>
      <c r="T52" s="51" t="n">
        <f aca="false">$C$29*(1+$C$30)^17</f>
        <v>2800482.83838485</v>
      </c>
      <c r="U52" s="51" t="n">
        <f aca="false">$C$29*(1+$C$30)^18</f>
        <v>2856492.49515255</v>
      </c>
      <c r="V52" s="51" t="n">
        <f aca="false">$C$29*(1+$C$30)^19</f>
        <v>2913622.3450556</v>
      </c>
      <c r="W52" s="51" t="n">
        <f aca="false">$C$29*(1+$C$30)^20</f>
        <v>2971894.79195671</v>
      </c>
      <c r="X52" s="51" t="n">
        <f aca="false">$C$29*(1+$C$30)^21</f>
        <v>3031332.68779584</v>
      </c>
      <c r="Y52" s="51" t="n">
        <f aca="false">$C$29*(1+$C$30)^22</f>
        <v>3091959.34155176</v>
      </c>
      <c r="Z52" s="51" t="n">
        <f aca="false">$C$29*(1+$C$30)^23</f>
        <v>3153798.5283828</v>
      </c>
      <c r="AA52" s="51" t="n">
        <f aca="false">$C$29*(1+$C$30)^24</f>
        <v>3216874.49895045</v>
      </c>
      <c r="AB52" s="51" t="n">
        <f aca="false">$C$29*(1+$C$30)^25</f>
        <v>3281211.98892946</v>
      </c>
      <c r="AC52" s="51" t="n">
        <f aca="false">$C$29*(1+$C$30)^26</f>
        <v>3346836.22870805</v>
      </c>
      <c r="AD52" s="51" t="n">
        <f aca="false">$C$29*(1+$C$30)^27</f>
        <v>3413772.95328221</v>
      </c>
      <c r="AE52" s="51" t="n">
        <f aca="false">$C$29*(1+$C$30)^28</f>
        <v>3482048.41234786</v>
      </c>
      <c r="AF52" s="51" t="n">
        <f aca="false">$C$29*(1+$C$30)^29</f>
        <v>3551689.38059481</v>
      </c>
      <c r="AG52" s="51" t="n">
        <f aca="false">$C$29*(1+$C$30)^30</f>
        <v>3622723.16820671</v>
      </c>
      <c r="AH52" s="51" t="n">
        <f aca="false">$C$29*(1+$C$30)^31</f>
        <v>3695177.63157084</v>
      </c>
      <c r="AI52" s="51" t="n">
        <f aca="false">$C$29*(1+$C$30)^32</f>
        <v>3769081.18420226</v>
      </c>
      <c r="AJ52" s="51" t="n">
        <f aca="false">$C$29*(1+$C$30)^33</f>
        <v>3844462.80788631</v>
      </c>
      <c r="AK52" s="51" t="n">
        <f aca="false">$C$29*(1+$C$30)^34</f>
        <v>3921352.06404403</v>
      </c>
      <c r="AL52" s="51" t="n">
        <f aca="false">$C$29*(1+$C$30)^35</f>
        <v>3999779.10532491</v>
      </c>
    </row>
    <row r="53" customFormat="false" ht="15" hidden="false" customHeight="false" outlineLevel="0" collapsed="false">
      <c r="B53" s="40" t="s">
        <v>318</v>
      </c>
      <c r="C53" s="51" t="n">
        <f aca="false">(C45+C46)*$C$31</f>
        <v>36000</v>
      </c>
      <c r="D53" s="51" t="n">
        <f aca="false">(D45+D46)*$C$31</f>
        <v>39000</v>
      </c>
      <c r="E53" s="51" t="n">
        <f aca="false">(E45+E46)*$C$31</f>
        <v>39000</v>
      </c>
      <c r="F53" s="51" t="n">
        <f aca="false">(F45+F46)*$C$31</f>
        <v>42000</v>
      </c>
      <c r="G53" s="51" t="n">
        <f aca="false">(G45+G46)*$C$31</f>
        <v>45000</v>
      </c>
      <c r="H53" s="51" t="n">
        <f aca="false">(H45+H46)*$C$31</f>
        <v>51000</v>
      </c>
      <c r="I53" s="51" t="n">
        <f aca="false">(I45+I46)*$C$31</f>
        <v>54000</v>
      </c>
      <c r="J53" s="51" t="n">
        <f aca="false">(J45+J46)*$C$31</f>
        <v>57000</v>
      </c>
      <c r="K53" s="51" t="n">
        <f aca="false">(K45+K46)*$C$31</f>
        <v>60000</v>
      </c>
      <c r="L53" s="51" t="n">
        <f aca="false">(L45+L46)*$C$31</f>
        <v>66000</v>
      </c>
      <c r="M53" s="51" t="n">
        <f aca="false">(M45+M46)*$C$31</f>
        <v>69000</v>
      </c>
      <c r="N53" s="51" t="n">
        <f aca="false">(N45+N46)*$C$31</f>
        <v>78000</v>
      </c>
      <c r="O53" s="51" t="n">
        <f aca="false">(O45+O46)*$C$31</f>
        <v>84000</v>
      </c>
      <c r="P53" s="51" t="n">
        <f aca="false">(P45+P46)*$C$31</f>
        <v>90000</v>
      </c>
      <c r="Q53" s="51" t="n">
        <f aca="false">(Q45+Q46)*$C$31</f>
        <v>99000</v>
      </c>
      <c r="R53" s="51" t="n">
        <f aca="false">(R45+R46)*$C$31</f>
        <v>105000</v>
      </c>
      <c r="S53" s="51" t="n">
        <f aca="false">(S45+S46)*$C$31</f>
        <v>114000</v>
      </c>
      <c r="T53" s="51" t="n">
        <f aca="false">(T45+T46)*$C$31</f>
        <v>126000</v>
      </c>
      <c r="U53" s="51" t="n">
        <f aca="false">(U45+U46)*$C$31</f>
        <v>135000</v>
      </c>
      <c r="V53" s="51" t="n">
        <f aca="false">(V45+V46)*$C$31</f>
        <v>150000</v>
      </c>
      <c r="W53" s="51" t="n">
        <f aca="false">(W45+W46)*$C$31</f>
        <v>165000</v>
      </c>
      <c r="X53" s="51" t="n">
        <f aca="false">(X45+X46)*$C$31</f>
        <v>177000</v>
      </c>
      <c r="Y53" s="51" t="n">
        <f aca="false">(Y45+Y46)*$C$31</f>
        <v>195000</v>
      </c>
      <c r="Z53" s="51" t="n">
        <f aca="false">(Z45+Z46)*$C$31</f>
        <v>216000</v>
      </c>
      <c r="AA53" s="51" t="n">
        <f aca="false">(AA45+AA46)*$C$31</f>
        <v>237000</v>
      </c>
      <c r="AB53" s="51" t="n">
        <f aca="false">(AB45+AB46)*$C$31</f>
        <v>261000</v>
      </c>
      <c r="AC53" s="51" t="n">
        <f aca="false">(AC45+AC46)*$C$31</f>
        <v>285000</v>
      </c>
      <c r="AD53" s="51" t="n">
        <f aca="false">(AD45+AD46)*$C$31</f>
        <v>315000</v>
      </c>
      <c r="AE53" s="51" t="n">
        <f aca="false">(AE45+AE46)*$C$31</f>
        <v>345000</v>
      </c>
      <c r="AF53" s="51" t="n">
        <f aca="false">(AF45+AF46)*$C$31</f>
        <v>384000</v>
      </c>
      <c r="AG53" s="51" t="n">
        <f aca="false">(AG45+AG46)*$C$31</f>
        <v>423000</v>
      </c>
      <c r="AH53" s="51" t="n">
        <f aca="false">(AH45+AH46)*$C$31</f>
        <v>468000</v>
      </c>
      <c r="AI53" s="51" t="n">
        <f aca="false">(AI45+AI46)*$C$31</f>
        <v>516000</v>
      </c>
      <c r="AJ53" s="51" t="n">
        <f aca="false">(AJ45+AJ46)*$C$31</f>
        <v>570000</v>
      </c>
      <c r="AK53" s="51" t="n">
        <f aca="false">(AK45+AK46)*$C$31</f>
        <v>633000</v>
      </c>
      <c r="AL53" s="51" t="n">
        <f aca="false">(AL45+AL46)*$C$31</f>
        <v>702000</v>
      </c>
    </row>
    <row r="54" customFormat="false" ht="15" hidden="false" customHeight="false" outlineLevel="0" collapsed="false">
      <c r="B54" s="40" t="s">
        <v>319</v>
      </c>
      <c r="C54" s="51" t="n">
        <f aca="false">C56*Inputs!$C$47</f>
        <v>12760</v>
      </c>
      <c r="D54" s="51" t="n">
        <f aca="false">D56*Inputs!$C$47</f>
        <v>14291.2</v>
      </c>
      <c r="E54" s="51" t="n">
        <f aca="false">E56*Inputs!$C$47</f>
        <v>16006.144</v>
      </c>
      <c r="F54" s="51" t="n">
        <f aca="false">F56*Inputs!$C$47</f>
        <v>17926.88128</v>
      </c>
      <c r="G54" s="51" t="n">
        <f aca="false">G56*Inputs!$C$47</f>
        <v>20078.1070336</v>
      </c>
      <c r="H54" s="51" t="n">
        <f aca="false">H56*Inputs!$C$47</f>
        <v>22487.479877632</v>
      </c>
      <c r="I54" s="51" t="n">
        <f aca="false">I56*Inputs!$C$47</f>
        <v>25185.9774629479</v>
      </c>
      <c r="J54" s="51" t="n">
        <f aca="false">J56*Inputs!$C$47</f>
        <v>28208.2947585016</v>
      </c>
      <c r="K54" s="51" t="n">
        <f aca="false">K56*Inputs!$C$47</f>
        <v>31593.2901295218</v>
      </c>
      <c r="L54" s="51" t="n">
        <f aca="false">L56*Inputs!$C$47</f>
        <v>35384.4849450644</v>
      </c>
      <c r="M54" s="51" t="n">
        <f aca="false">M56*Inputs!$C$47</f>
        <v>39630.6231384722</v>
      </c>
      <c r="N54" s="51" t="n">
        <f aca="false">N56*Inputs!$C$47</f>
        <v>44386.2979150888</v>
      </c>
      <c r="O54" s="51" t="n">
        <f aca="false">O56*Inputs!$C$47</f>
        <v>49712.6536648995</v>
      </c>
      <c r="P54" s="51" t="n">
        <f aca="false">P56*Inputs!$C$47</f>
        <v>55678.1721046874</v>
      </c>
      <c r="Q54" s="51" t="n">
        <f aca="false">Q56*Inputs!$C$47</f>
        <v>62359.5527572499</v>
      </c>
      <c r="R54" s="51" t="n">
        <f aca="false">R56*Inputs!$C$47</f>
        <v>69842.6990881199</v>
      </c>
      <c r="S54" s="51" t="n">
        <f aca="false">S56*Inputs!$C$47</f>
        <v>78223.8229786943</v>
      </c>
      <c r="T54" s="51" t="n">
        <f aca="false">T56*Inputs!$C$47</f>
        <v>87610.6817361376</v>
      </c>
      <c r="U54" s="51" t="n">
        <f aca="false">U56*Inputs!$C$47</f>
        <v>98123.9635444742</v>
      </c>
      <c r="V54" s="51" t="n">
        <f aca="false">V56*Inputs!$C$47</f>
        <v>109898.839169811</v>
      </c>
      <c r="W54" s="51" t="n">
        <f aca="false">W56*Inputs!$C$47</f>
        <v>123086.699870188</v>
      </c>
      <c r="X54" s="51" t="n">
        <f aca="false">X56*Inputs!$C$47</f>
        <v>137857.103854611</v>
      </c>
      <c r="Y54" s="51" t="n">
        <f aca="false">Y56*Inputs!$C$47</f>
        <v>154399.956317164</v>
      </c>
      <c r="Z54" s="51" t="n">
        <f aca="false">Z56*Inputs!$C$47</f>
        <v>172927.951075224</v>
      </c>
      <c r="AA54" s="51" t="n">
        <f aca="false">AA56*Inputs!$C$47</f>
        <v>193679.305204251</v>
      </c>
      <c r="AB54" s="51" t="n">
        <f aca="false">AB56*Inputs!$C$47</f>
        <v>216920.821828761</v>
      </c>
      <c r="AC54" s="51" t="n">
        <f aca="false">AC56*Inputs!$C$47</f>
        <v>242951.320448212</v>
      </c>
      <c r="AD54" s="51" t="n">
        <f aca="false">AD56*Inputs!$C$47</f>
        <v>272105.478901998</v>
      </c>
      <c r="AE54" s="51" t="n">
        <f aca="false">AE56*Inputs!$C$47</f>
        <v>304758.136370238</v>
      </c>
      <c r="AF54" s="51" t="n">
        <f aca="false">AF56*Inputs!$C$47</f>
        <v>341329.112734666</v>
      </c>
      <c r="AG54" s="51" t="n">
        <f aca="false">AG56*Inputs!$C$47</f>
        <v>382288.606262826</v>
      </c>
      <c r="AH54" s="51" t="n">
        <f aca="false">AH56*Inputs!$C$47</f>
        <v>428163.239014366</v>
      </c>
      <c r="AI54" s="51" t="n">
        <f aca="false">AI56*Inputs!$C$47</f>
        <v>479542.827696089</v>
      </c>
      <c r="AJ54" s="51" t="n">
        <f aca="false">AJ56*Inputs!$C$47</f>
        <v>537087.96701962</v>
      </c>
      <c r="AK54" s="51" t="n">
        <f aca="false">AK56*Inputs!$C$47</f>
        <v>601538.523061975</v>
      </c>
      <c r="AL54" s="51" t="n">
        <f aca="false">AL56*Inputs!$C$47</f>
        <v>673723.145829412</v>
      </c>
    </row>
    <row r="55" customFormat="false" ht="15" hidden="false" customHeight="false" outlineLevel="0" collapsed="false">
      <c r="B55" s="47" t="s">
        <v>320</v>
      </c>
      <c r="C55" s="51" t="n">
        <f aca="false">SUM(C49,C51,C52,C53,C54)</f>
        <v>3184760</v>
      </c>
      <c r="D55" s="51" t="n">
        <f aca="false">SUM(D49,D51,D52,D53,D54)</f>
        <v>3305893.78541975</v>
      </c>
      <c r="E55" s="51" t="n">
        <f aca="false">SUM(E49,E51,E52,E53,E54)</f>
        <v>3376156.33643191</v>
      </c>
      <c r="F55" s="51" t="n">
        <f aca="false">SUM(F49,F51,F52,F53,F54)</f>
        <v>3502733.19751529</v>
      </c>
      <c r="G55" s="51" t="n">
        <f aca="false">SUM(G49,G51,G52,G53,G54)</f>
        <v>3632374.56941075</v>
      </c>
      <c r="H55" s="51" t="n">
        <f aca="false">SUM(H49,H51,H52,H53,H54)</f>
        <v>3892584.80654496</v>
      </c>
      <c r="I55" s="51" t="n">
        <f aca="false">SUM(I49,I51,I52,I53,I54)</f>
        <v>4029610.36545384</v>
      </c>
      <c r="J55" s="51" t="n">
        <f aca="false">SUM(J49,J51,J52,J53,J54)</f>
        <v>4170080.43297412</v>
      </c>
      <c r="K55" s="51" t="n">
        <f aca="false">SUM(K49,K51,K52,K53,K54)</f>
        <v>4314135.47121549</v>
      </c>
      <c r="L55" s="51" t="n">
        <f aca="false">SUM(L49,L51,L52,L53,L54)</f>
        <v>4518263.4074058</v>
      </c>
      <c r="M55" s="51" t="n">
        <f aca="false">SUM(M49,M51,M52,M53,M54)</f>
        <v>4670331.29057771</v>
      </c>
      <c r="N55" s="51" t="n">
        <f aca="false">SUM(N49,N51,N52,N53,N54)</f>
        <v>5016439.99856947</v>
      </c>
      <c r="O55" s="51" t="n">
        <f aca="false">SUM(O49,O51,O52,O53,O54)</f>
        <v>5235649.19465916</v>
      </c>
      <c r="P55" s="51" t="n">
        <f aca="false">SUM(P49,P51,P52,P53,P54)</f>
        <v>5460096.58943811</v>
      </c>
      <c r="Q55" s="51" t="n">
        <f aca="false">SUM(Q49,Q51,Q52,Q53,Q54)</f>
        <v>5825691.2930877</v>
      </c>
      <c r="R55" s="51" t="n">
        <f aca="false">SUM(R49,R51,R52,R53,R54)</f>
        <v>6062237.27095957</v>
      </c>
      <c r="S55" s="51" t="n">
        <f aca="false">SUM(S49,S51,S52,S53,S54)</f>
        <v>6363814.21500159</v>
      </c>
      <c r="T55" s="51" t="n">
        <f aca="false">SUM(T49,T51,T52,T53,T54)</f>
        <v>6810991.22713574</v>
      </c>
      <c r="U55" s="51" t="n">
        <f aca="false">SUM(U49,U51,U52,U53,U54)</f>
        <v>7127876.87941892</v>
      </c>
      <c r="V55" s="51" t="n">
        <f aca="false">SUM(V49,V51,V52,V53,V54)</f>
        <v>7653253.52773535</v>
      </c>
      <c r="W55" s="51" t="n">
        <f aca="false">SUM(W49,W51,W52,W53,W54)</f>
        <v>8189417.96427682</v>
      </c>
      <c r="X55" s="51" t="n">
        <f aca="false">SUM(X49,X51,X52,X53,X54)</f>
        <v>8594234.84573217</v>
      </c>
      <c r="Y55" s="51" t="n">
        <f aca="false">SUM(Y49,Y51,Y52,Y53,Y54)</f>
        <v>9213749.82798816</v>
      </c>
      <c r="Z55" s="51" t="n">
        <f aca="false">SUM(Z49,Z51,Z52,Z53,Z54)</f>
        <v>9908153.24743504</v>
      </c>
      <c r="AA55" s="51" t="n">
        <f aca="false">SUM(AA49,AA51,AA52,AA53,AA54)</f>
        <v>10616818.6256915</v>
      </c>
      <c r="AB55" s="51" t="n">
        <f aca="false">SUM(AB49,AB51,AB52,AB53,AB54)</f>
        <v>11403130.3633898</v>
      </c>
      <c r="AC55" s="51" t="n">
        <f aca="false">SUM(AC49,AC51,AC52,AC53,AC54)</f>
        <v>12205711.8445036</v>
      </c>
      <c r="AD55" s="51" t="n">
        <f aca="false">SUM(AD49,AD51,AD52,AD53,AD54)</f>
        <v>13152611.0945565</v>
      </c>
      <c r="AE55" s="51" t="n">
        <f aca="false">SUM(AE49,AE51,AE52,AE53,AE54)</f>
        <v>14118883.2238742</v>
      </c>
      <c r="AF55" s="51" t="n">
        <f aca="false">SUM(AF49,AF51,AF52,AF53,AF54)</f>
        <v>15385245.4168873</v>
      </c>
      <c r="AG55" s="51" t="n">
        <f aca="false">SUM(AG49,AG51,AG52,AG53,AG54)</f>
        <v>16676507.8687786</v>
      </c>
      <c r="AH55" s="51" t="n">
        <f aca="false">SUM(AH49,AH51,AH52,AH53,AH54)</f>
        <v>18124561.269932</v>
      </c>
      <c r="AI55" s="51" t="n">
        <f aca="false">SUM(AI49,AI51,AI52,AI53,AI54)</f>
        <v>19667222.7327364</v>
      </c>
      <c r="AJ55" s="51" t="n">
        <f aca="false">SUM(AJ49,AJ51,AJ52,AJ53,AJ54)</f>
        <v>21373363.6304776</v>
      </c>
      <c r="AK55" s="51" t="n">
        <f aca="false">SUM(AK49,AK51,AK52,AK53,AK54)</f>
        <v>23403157.1548245</v>
      </c>
      <c r="AL55" s="51" t="n">
        <f aca="false">SUM(AL49,AL51,AL52,AL53,AL54)</f>
        <v>25606755.7270578</v>
      </c>
    </row>
    <row r="56" customFormat="false" ht="15" hidden="false" customHeight="false" outlineLevel="0" collapsed="false">
      <c r="B56" s="47" t="s">
        <v>321</v>
      </c>
      <c r="C56" s="51" t="n">
        <f aca="false">C36*$C$27*Inputs!$C$19</f>
        <v>638000</v>
      </c>
      <c r="D56" s="51" t="n">
        <f aca="false">D36*$C$27*Inputs!$C$19</f>
        <v>714560</v>
      </c>
      <c r="E56" s="51" t="n">
        <f aca="false">E36*$C$27*Inputs!$C$19</f>
        <v>800307.2</v>
      </c>
      <c r="F56" s="51" t="n">
        <f aca="false">F36*$C$27*Inputs!$C$19</f>
        <v>896344.064</v>
      </c>
      <c r="G56" s="51" t="n">
        <f aca="false">G36*$C$27*Inputs!$C$19</f>
        <v>1003905.35168</v>
      </c>
      <c r="H56" s="51" t="n">
        <f aca="false">H36*$C$27*Inputs!$C$19</f>
        <v>1124373.9938816</v>
      </c>
      <c r="I56" s="51" t="n">
        <f aca="false">I36*$C$27*Inputs!$C$19</f>
        <v>1259298.87314739</v>
      </c>
      <c r="J56" s="51" t="n">
        <f aca="false">J36*$C$27*Inputs!$C$19</f>
        <v>1410414.73792508</v>
      </c>
      <c r="K56" s="51" t="n">
        <f aca="false">K36*$C$27*Inputs!$C$19</f>
        <v>1579664.50647609</v>
      </c>
      <c r="L56" s="51" t="n">
        <f aca="false">L36*$C$27*Inputs!$C$19</f>
        <v>1769224.24725322</v>
      </c>
      <c r="M56" s="51" t="n">
        <f aca="false">M36*$C$27*Inputs!$C$19</f>
        <v>1981531.15692361</v>
      </c>
      <c r="N56" s="51" t="n">
        <f aca="false">N36*$C$27*Inputs!$C$19</f>
        <v>2219314.89575444</v>
      </c>
      <c r="O56" s="51" t="n">
        <f aca="false">O36*$C$27*Inputs!$C$19</f>
        <v>2485632.68324497</v>
      </c>
      <c r="P56" s="51" t="n">
        <f aca="false">P36*$C$27*Inputs!$C$19</f>
        <v>2783908.60523437</v>
      </c>
      <c r="Q56" s="51" t="n">
        <f aca="false">Q36*$C$27*Inputs!$C$19</f>
        <v>3117977.6378625</v>
      </c>
      <c r="R56" s="51" t="n">
        <f aca="false">R36*$C$27*Inputs!$C$19</f>
        <v>3492134.95440599</v>
      </c>
      <c r="S56" s="51" t="n">
        <f aca="false">S36*$C$27*Inputs!$C$19</f>
        <v>3911191.14893471</v>
      </c>
      <c r="T56" s="51" t="n">
        <f aca="false">T36*$C$27*Inputs!$C$19</f>
        <v>4380534.08680688</v>
      </c>
      <c r="U56" s="51" t="n">
        <f aca="false">U36*$C$27*Inputs!$C$19</f>
        <v>4906198.17722371</v>
      </c>
      <c r="V56" s="51" t="n">
        <f aca="false">V36*$C$27*Inputs!$C$19</f>
        <v>5494941.95849055</v>
      </c>
      <c r="W56" s="51" t="n">
        <f aca="false">W36*$C$27*Inputs!$C$19</f>
        <v>6154334.99350942</v>
      </c>
      <c r="X56" s="51" t="n">
        <f aca="false">X36*$C$27*Inputs!$C$19</f>
        <v>6892855.19273055</v>
      </c>
      <c r="Y56" s="51" t="n">
        <f aca="false">Y36*$C$27*Inputs!$C$19</f>
        <v>7719997.81585822</v>
      </c>
      <c r="Z56" s="51" t="n">
        <f aca="false">Z36*$C$27*Inputs!$C$19</f>
        <v>8646397.5537612</v>
      </c>
      <c r="AA56" s="51" t="n">
        <f aca="false">AA36*$C$27*Inputs!$C$19</f>
        <v>9683965.26021255</v>
      </c>
      <c r="AB56" s="51" t="n">
        <f aca="false">AB36*$C$27*Inputs!$C$19</f>
        <v>10846041.0914381</v>
      </c>
      <c r="AC56" s="51" t="n">
        <f aca="false">AC36*$C$27*Inputs!$C$19</f>
        <v>12147566.0224106</v>
      </c>
      <c r="AD56" s="51" t="n">
        <f aca="false">AD36*$C$27*Inputs!$C$19</f>
        <v>13605273.9450999</v>
      </c>
      <c r="AE56" s="51" t="n">
        <f aca="false">AE36*$C$27*Inputs!$C$19</f>
        <v>15237906.8185119</v>
      </c>
      <c r="AF56" s="51" t="n">
        <f aca="false">AF36*$C$27*Inputs!$C$19</f>
        <v>17066455.6367333</v>
      </c>
      <c r="AG56" s="51" t="n">
        <f aca="false">AG36*$C$27*Inputs!$C$19</f>
        <v>19114430.3131413</v>
      </c>
      <c r="AH56" s="51" t="n">
        <f aca="false">AH36*$C$27*Inputs!$C$19</f>
        <v>21408161.9507183</v>
      </c>
      <c r="AI56" s="51" t="n">
        <f aca="false">AI36*$C$27*Inputs!$C$19</f>
        <v>23977141.3848045</v>
      </c>
      <c r="AJ56" s="51" t="n">
        <f aca="false">AJ36*$C$27*Inputs!$C$19</f>
        <v>26854398.350981</v>
      </c>
      <c r="AK56" s="51" t="n">
        <f aca="false">AK36*$C$27*Inputs!$C$19</f>
        <v>30076926.1530987</v>
      </c>
      <c r="AL56" s="51" t="n">
        <f aca="false">AL36*$C$27*Inputs!$C$19</f>
        <v>33686157.2914706</v>
      </c>
    </row>
    <row r="57" customFormat="false" ht="15" hidden="false" customHeight="false" outlineLevel="0" collapsed="false">
      <c r="B57" s="47" t="s">
        <v>322</v>
      </c>
      <c r="C57" s="53" t="n">
        <f aca="false">C56-C55</f>
        <v>-2546760</v>
      </c>
      <c r="D57" s="53" t="n">
        <f aca="false">D56-D55</f>
        <v>-2591333.78541975</v>
      </c>
      <c r="E57" s="53" t="n">
        <f aca="false">E56-E55</f>
        <v>-2575849.13643191</v>
      </c>
      <c r="F57" s="53" t="n">
        <f aca="false">F56-F55</f>
        <v>-2606389.13351529</v>
      </c>
      <c r="G57" s="53" t="n">
        <f aca="false">G56-G55</f>
        <v>-2628469.21773075</v>
      </c>
      <c r="H57" s="53" t="n">
        <f aca="false">H56-H55</f>
        <v>-2768210.81266336</v>
      </c>
      <c r="I57" s="53" t="n">
        <f aca="false">I56-I55</f>
        <v>-2770311.49230644</v>
      </c>
      <c r="J57" s="53" t="n">
        <f aca="false">J56-J55</f>
        <v>-2759665.69504904</v>
      </c>
      <c r="K57" s="53" t="n">
        <f aca="false">K56-K55</f>
        <v>-2734470.9647394</v>
      </c>
      <c r="L57" s="53" t="n">
        <f aca="false">L56-L55</f>
        <v>-2749039.16015258</v>
      </c>
      <c r="M57" s="53" t="n">
        <f aca="false">M56-M55</f>
        <v>-2688800.1336541</v>
      </c>
      <c r="N57" s="53" t="n">
        <f aca="false">N56-N55</f>
        <v>-2797125.10281503</v>
      </c>
      <c r="O57" s="53" t="n">
        <f aca="false">O56-O55</f>
        <v>-2750016.51141418</v>
      </c>
      <c r="P57" s="53" t="n">
        <f aca="false">P56-P55</f>
        <v>-2676187.98420374</v>
      </c>
      <c r="Q57" s="53" t="n">
        <f aca="false">Q56-Q55</f>
        <v>-2707713.6552252</v>
      </c>
      <c r="R57" s="53" t="n">
        <f aca="false">R56-R55</f>
        <v>-2570102.31655357</v>
      </c>
      <c r="S57" s="53" t="n">
        <f aca="false">S56-S55</f>
        <v>-2452623.06606688</v>
      </c>
      <c r="T57" s="53" t="n">
        <f aca="false">T56-T55</f>
        <v>-2430457.14032886</v>
      </c>
      <c r="U57" s="53" t="n">
        <f aca="false">U56-U55</f>
        <v>-2221678.70219521</v>
      </c>
      <c r="V57" s="53" t="n">
        <f aca="false">V56-V55</f>
        <v>-2158311.56924479</v>
      </c>
      <c r="W57" s="53" t="n">
        <f aca="false">W56-W55</f>
        <v>-2035082.9707674</v>
      </c>
      <c r="X57" s="53" t="n">
        <f aca="false">X56-X55</f>
        <v>-1701379.65300161</v>
      </c>
      <c r="Y57" s="53" t="n">
        <f aca="false">Y56-Y55</f>
        <v>-1493752.01212994</v>
      </c>
      <c r="Z57" s="53" t="n">
        <f aca="false">Z56-Z55</f>
        <v>-1261755.69367384</v>
      </c>
      <c r="AA57" s="53" t="n">
        <f aca="false">AA56-AA55</f>
        <v>-932853.365478979</v>
      </c>
      <c r="AB57" s="53" t="n">
        <f aca="false">AB56-AB55</f>
        <v>-557089.271951709</v>
      </c>
      <c r="AC57" s="53" t="n">
        <f aca="false">AC56-AC55</f>
        <v>-58145.8220929708</v>
      </c>
      <c r="AD57" s="53" t="n">
        <f aca="false">AD56-AD55</f>
        <v>452662.850543439</v>
      </c>
      <c r="AE57" s="53" t="n">
        <f aca="false">AE56-AE55</f>
        <v>1119023.59463774</v>
      </c>
      <c r="AF57" s="53" t="n">
        <f aca="false">AF56-AF55</f>
        <v>1681210.21984607</v>
      </c>
      <c r="AG57" s="53" t="n">
        <f aca="false">AG56-AG55</f>
        <v>2437922.44436271</v>
      </c>
      <c r="AH57" s="53" t="n">
        <f aca="false">AH56-AH55</f>
        <v>3283600.6807863</v>
      </c>
      <c r="AI57" s="53" t="n">
        <f aca="false">AI56-AI55</f>
        <v>4309918.65206812</v>
      </c>
      <c r="AJ57" s="53" t="n">
        <f aca="false">AJ56-AJ55</f>
        <v>5481034.72050341</v>
      </c>
      <c r="AK57" s="53" t="n">
        <f aca="false">AK56-AK55</f>
        <v>6673768.99827422</v>
      </c>
      <c r="AL57" s="53" t="n">
        <f aca="false">AL56-AL55</f>
        <v>8079401.56441283</v>
      </c>
    </row>
    <row r="58" customFormat="false" ht="15" hidden="false" customHeight="false" outlineLevel="0" collapsed="false">
      <c r="B58" s="47" t="s">
        <v>323</v>
      </c>
      <c r="C58" s="53" t="n">
        <f aca="false">C57</f>
        <v>-2546760</v>
      </c>
      <c r="D58" s="53" t="n">
        <f aca="false">C58+D57</f>
        <v>-5138093.78541975</v>
      </c>
      <c r="E58" s="53" t="n">
        <f aca="false">D58+E57</f>
        <v>-7713942.92185166</v>
      </c>
      <c r="F58" s="53" t="n">
        <f aca="false">E58+F57</f>
        <v>-10320332.0553669</v>
      </c>
      <c r="G58" s="53" t="n">
        <f aca="false">F58+G57</f>
        <v>-12948801.2730977</v>
      </c>
      <c r="H58" s="53" t="n">
        <f aca="false">G58+H57</f>
        <v>-15717012.0857611</v>
      </c>
      <c r="I58" s="53" t="n">
        <f aca="false">H58+I57</f>
        <v>-18487323.5780675</v>
      </c>
      <c r="J58" s="53" t="n">
        <f aca="false">I58+J57</f>
        <v>-21246989.2731165</v>
      </c>
      <c r="K58" s="53" t="n">
        <f aca="false">J58+K57</f>
        <v>-23981460.2378559</v>
      </c>
      <c r="L58" s="53" t="n">
        <f aca="false">K58+L57</f>
        <v>-26730499.3980085</v>
      </c>
      <c r="M58" s="53" t="n">
        <f aca="false">L58+M57</f>
        <v>-29419299.5316626</v>
      </c>
      <c r="N58" s="53" t="n">
        <f aca="false">M58+N57</f>
        <v>-32216424.6344777</v>
      </c>
      <c r="O58" s="53" t="n">
        <f aca="false">N58+O57</f>
        <v>-34966441.1458918</v>
      </c>
      <c r="P58" s="53" t="n">
        <f aca="false">O58+P57</f>
        <v>-37642629.1300956</v>
      </c>
      <c r="Q58" s="53" t="n">
        <f aca="false">P58+Q57</f>
        <v>-40350342.7853208</v>
      </c>
      <c r="R58" s="53" t="n">
        <f aca="false">Q58+R57</f>
        <v>-42920445.1018743</v>
      </c>
      <c r="S58" s="53" t="n">
        <f aca="false">R58+S57</f>
        <v>-45373068.1679412</v>
      </c>
      <c r="T58" s="53" t="n">
        <f aca="false">S58+T57</f>
        <v>-47803525.3082701</v>
      </c>
      <c r="U58" s="53" t="n">
        <f aca="false">T58+U57</f>
        <v>-50025204.0104653</v>
      </c>
      <c r="V58" s="53" t="n">
        <f aca="false">U58+V57</f>
        <v>-52183515.5797101</v>
      </c>
      <c r="W58" s="53" t="n">
        <f aca="false">V58+W57</f>
        <v>-54218598.5504775</v>
      </c>
      <c r="X58" s="53" t="n">
        <f aca="false">W58+X57</f>
        <v>-55919978.2034791</v>
      </c>
      <c r="Y58" s="53" t="n">
        <f aca="false">X58+Y57</f>
        <v>-57413730.215609</v>
      </c>
      <c r="Z58" s="53" t="n">
        <f aca="false">Y58+Z57</f>
        <v>-58675485.9092829</v>
      </c>
      <c r="AA58" s="53" t="n">
        <f aca="false">Z58+AA57</f>
        <v>-59608339.2747618</v>
      </c>
      <c r="AB58" s="53" t="n">
        <f aca="false">AA58+AB57</f>
        <v>-60165428.5467135</v>
      </c>
      <c r="AC58" s="53" t="n">
        <f aca="false">AB58+AC57</f>
        <v>-60223574.3688065</v>
      </c>
      <c r="AD58" s="53" t="n">
        <f aca="false">AC58+AD57</f>
        <v>-59770911.5182631</v>
      </c>
      <c r="AE58" s="53" t="n">
        <f aca="false">AD58+AE57</f>
        <v>-58651887.9236253</v>
      </c>
      <c r="AF58" s="53" t="n">
        <f aca="false">AE58+AF57</f>
        <v>-56970677.7037793</v>
      </c>
      <c r="AG58" s="53" t="n">
        <f aca="false">AF58+AG57</f>
        <v>-54532755.2594166</v>
      </c>
      <c r="AH58" s="53" t="n">
        <f aca="false">AG58+AH57</f>
        <v>-51249154.5786303</v>
      </c>
      <c r="AI58" s="53" t="n">
        <f aca="false">AH58+AI57</f>
        <v>-46939235.9265621</v>
      </c>
      <c r="AJ58" s="53" t="n">
        <f aca="false">AI58+AJ57</f>
        <v>-41458201.2060587</v>
      </c>
      <c r="AK58" s="53" t="n">
        <f aca="false">AJ58+AK57</f>
        <v>-34784432.2077845</v>
      </c>
      <c r="AL58" s="53" t="n">
        <f aca="false">AK58+AL57</f>
        <v>-26705030.6433717</v>
      </c>
    </row>
    <row r="59" customFormat="false" ht="15" hidden="false" customHeight="false" outlineLevel="0" collapsed="false">
      <c r="B59" s="40" t="s">
        <v>324</v>
      </c>
      <c r="C59" s="49" t="n">
        <f aca="false">IFERROR(C57/C56,0)</f>
        <v>-3.9917868338558</v>
      </c>
      <c r="D59" s="49" t="n">
        <f aca="false">IFERROR(D57/D56,0)</f>
        <v>-3.62647473329006</v>
      </c>
      <c r="E59" s="49" t="n">
        <f aca="false">IFERROR(E57/E56,0)</f>
        <v>-3.21857548755267</v>
      </c>
      <c r="F59" s="49" t="n">
        <f aca="false">IFERROR(F57/F56,0)</f>
        <v>-2.90779984851363</v>
      </c>
      <c r="G59" s="49" t="n">
        <f aca="false">IFERROR(G57/G56,0)</f>
        <v>-2.61824405391613</v>
      </c>
      <c r="H59" s="49" t="n">
        <f aca="false">IFERROR(H57/H56,0)</f>
        <v>-2.4620018141</v>
      </c>
      <c r="I59" s="49" t="n">
        <f aca="false">IFERROR(I57/I56,0)</f>
        <v>-2.1998840397455</v>
      </c>
      <c r="J59" s="49" t="n">
        <f aca="false">IFERROR(J57/J56,0)</f>
        <v>-1.95663418769212</v>
      </c>
      <c r="K59" s="49" t="n">
        <f aca="false">IFERROR(K57/K56,0)</f>
        <v>-1.73104539193544</v>
      </c>
      <c r="L59" s="49" t="n">
        <f aca="false">IFERROR(L57/L56,0)</f>
        <v>-1.55381047056107</v>
      </c>
      <c r="M59" s="49" t="n">
        <f aca="false">IFERROR(M57/M56,0)</f>
        <v>-1.35693053538888</v>
      </c>
      <c r="N59" s="49" t="n">
        <f aca="false">IFERROR(N57/N56,0)</f>
        <v>-1.26035521510081</v>
      </c>
      <c r="O59" s="49" t="n">
        <f aca="false">IFERROR(O57/O56,0)</f>
        <v>-1.10636480198838</v>
      </c>
      <c r="P59" s="49" t="n">
        <f aca="false">IFERROR(P57/P56,0)</f>
        <v>-0.961305977923235</v>
      </c>
      <c r="Q59" s="49" t="n">
        <f aca="false">IFERROR(Q57/Q56,0)</f>
        <v>-0.86841984443527</v>
      </c>
      <c r="R59" s="49" t="n">
        <f aca="false">IFERROR(R57/R56,0)</f>
        <v>-0.735968784170525</v>
      </c>
      <c r="S59" s="49" t="n">
        <f aca="false">IFERROR(S57/S56,0)</f>
        <v>-0.62707829218086</v>
      </c>
      <c r="T59" s="49" t="n">
        <f aca="false">IFERROR(T57/T56,0)</f>
        <v>-0.554831235681697</v>
      </c>
      <c r="U59" s="49" t="n">
        <f aca="false">IFERROR(U57/U56,0)</f>
        <v>-0.452831015369299</v>
      </c>
      <c r="V59" s="49" t="n">
        <f aca="false">IFERROR(V57/V56,0)</f>
        <v>-0.392781504436068</v>
      </c>
      <c r="W59" s="49" t="n">
        <f aca="false">IFERROR(W57/W56,0)</f>
        <v>-0.330674715125789</v>
      </c>
      <c r="X59" s="49" t="n">
        <f aca="false">IFERROR(X57/X56,0)</f>
        <v>-0.246832351098272</v>
      </c>
      <c r="Y59" s="49" t="n">
        <f aca="false">IFERROR(Y57/Y56,0)</f>
        <v>-0.193491248023608</v>
      </c>
      <c r="Z59" s="49" t="n">
        <f aca="false">IFERROR(Z57/Z56,0)</f>
        <v>-0.145928484762417</v>
      </c>
      <c r="AA59" s="49" t="n">
        <f aca="false">IFERROR(AA57/AA56,0)</f>
        <v>-0.0963296893795863</v>
      </c>
      <c r="AB59" s="49" t="n">
        <f aca="false">IFERROR(AB57/AB56,0)</f>
        <v>-0.0513633746410457</v>
      </c>
      <c r="AC59" s="49" t="n">
        <f aca="false">IFERROR(AC57/AC56,0)</f>
        <v>-0.00478662326145827</v>
      </c>
      <c r="AD59" s="49" t="n">
        <f aca="false">IFERROR(AD57/AD56,0)</f>
        <v>0.0332711309136463</v>
      </c>
      <c r="AE59" s="49" t="n">
        <f aca="false">IFERROR(AE57/AE56,0)</f>
        <v>0.0734368314471045</v>
      </c>
      <c r="AF59" s="49" t="n">
        <f aca="false">IFERROR(AF57/AF56,0)</f>
        <v>0.0985096293941364</v>
      </c>
      <c r="AG59" s="49" t="n">
        <f aca="false">IFERROR(AG57/AG56,0)</f>
        <v>0.127543557638054</v>
      </c>
      <c r="AH59" s="49" t="n">
        <f aca="false">IFERROR(AH57/AH56,0)</f>
        <v>0.153380784784101</v>
      </c>
      <c r="AI59" s="49" t="n">
        <f aca="false">IFERROR(AI57/AI56,0)</f>
        <v>0.179751146431473</v>
      </c>
      <c r="AJ59" s="49" t="n">
        <f aca="false">IFERROR(AJ57/AJ56,0)</f>
        <v>0.204101937003671</v>
      </c>
      <c r="AK59" s="49" t="n">
        <f aca="false">IFERROR(AK57/AK56,0)</f>
        <v>0.221889995151205</v>
      </c>
      <c r="AL59" s="49" t="n">
        <f aca="false">IFERROR(AL57/AL56,0)</f>
        <v>0.239843372294012</v>
      </c>
    </row>
    <row r="60" customFormat="false" ht="15" hidden="false" customHeight="false" outlineLevel="0" collapsed="false">
      <c r="B60" s="54" t="s">
        <v>325</v>
      </c>
      <c r="C60" s="54" t="n">
        <f aca="false">IF(C57&gt;0,C35,999)</f>
        <v>999</v>
      </c>
      <c r="D60" s="54" t="n">
        <f aca="false">IF(D57&gt;0,D35,999)</f>
        <v>999</v>
      </c>
      <c r="E60" s="54" t="n">
        <f aca="false">IF(E57&gt;0,E35,999)</f>
        <v>999</v>
      </c>
      <c r="F60" s="54" t="n">
        <f aca="false">IF(F57&gt;0,F35,999)</f>
        <v>999</v>
      </c>
      <c r="G60" s="54" t="n">
        <f aca="false">IF(G57&gt;0,G35,999)</f>
        <v>999</v>
      </c>
      <c r="H60" s="54" t="n">
        <f aca="false">IF(H57&gt;0,H35,999)</f>
        <v>999</v>
      </c>
      <c r="I60" s="54" t="n">
        <f aca="false">IF(I57&gt;0,I35,999)</f>
        <v>999</v>
      </c>
      <c r="J60" s="54" t="n">
        <f aca="false">IF(J57&gt;0,J35,999)</f>
        <v>999</v>
      </c>
      <c r="K60" s="54" t="n">
        <f aca="false">IF(K57&gt;0,K35,999)</f>
        <v>999</v>
      </c>
      <c r="L60" s="54" t="n">
        <f aca="false">IF(L57&gt;0,L35,999)</f>
        <v>999</v>
      </c>
      <c r="M60" s="54" t="n">
        <f aca="false">IF(M57&gt;0,M35,999)</f>
        <v>999</v>
      </c>
      <c r="N60" s="54" t="n">
        <f aca="false">IF(N57&gt;0,N35,999)</f>
        <v>999</v>
      </c>
      <c r="O60" s="54" t="n">
        <f aca="false">IF(O57&gt;0,O35,999)</f>
        <v>999</v>
      </c>
      <c r="P60" s="54" t="n">
        <f aca="false">IF(P57&gt;0,P35,999)</f>
        <v>999</v>
      </c>
      <c r="Q60" s="54" t="n">
        <f aca="false">IF(Q57&gt;0,Q35,999)</f>
        <v>999</v>
      </c>
      <c r="R60" s="54" t="n">
        <f aca="false">IF(R57&gt;0,R35,999)</f>
        <v>999</v>
      </c>
      <c r="S60" s="54" t="n">
        <f aca="false">IF(S57&gt;0,S35,999)</f>
        <v>999</v>
      </c>
      <c r="T60" s="54" t="n">
        <f aca="false">IF(T57&gt;0,T35,999)</f>
        <v>999</v>
      </c>
      <c r="U60" s="54" t="n">
        <f aca="false">IF(U57&gt;0,U35,999)</f>
        <v>999</v>
      </c>
      <c r="V60" s="54" t="n">
        <f aca="false">IF(V57&gt;0,V35,999)</f>
        <v>999</v>
      </c>
      <c r="W60" s="54" t="n">
        <f aca="false">IF(W57&gt;0,W35,999)</f>
        <v>999</v>
      </c>
      <c r="X60" s="54" t="n">
        <f aca="false">IF(X57&gt;0,X35,999)</f>
        <v>999</v>
      </c>
      <c r="Y60" s="54" t="n">
        <f aca="false">IF(Y57&gt;0,Y35,999)</f>
        <v>999</v>
      </c>
      <c r="Z60" s="54" t="n">
        <f aca="false">IF(Z57&gt;0,Z35,999)</f>
        <v>999</v>
      </c>
      <c r="AA60" s="54" t="n">
        <f aca="false">IF(AA57&gt;0,AA35,999)</f>
        <v>999</v>
      </c>
      <c r="AB60" s="54" t="n">
        <f aca="false">IF(AB57&gt;0,AB35,999)</f>
        <v>999</v>
      </c>
      <c r="AC60" s="54" t="n">
        <f aca="false">IF(AC57&gt;0,AC35,999)</f>
        <v>999</v>
      </c>
      <c r="AD60" s="55" t="n">
        <f aca="false">IF(AD57&gt;0,AD35,999)</f>
        <v>28</v>
      </c>
      <c r="AE60" s="55" t="n">
        <f aca="false">IF(AE57&gt;0,AE35,999)</f>
        <v>29</v>
      </c>
      <c r="AF60" s="55" t="n">
        <f aca="false">IF(AF57&gt;0,AF35,999)</f>
        <v>30</v>
      </c>
      <c r="AG60" s="55" t="n">
        <f aca="false">IF(AG57&gt;0,AG35,999)</f>
        <v>31</v>
      </c>
      <c r="AH60" s="55" t="n">
        <f aca="false">IF(AH57&gt;0,AH35,999)</f>
        <v>32</v>
      </c>
      <c r="AI60" s="55" t="n">
        <f aca="false">IF(AI57&gt;0,AI35,999)</f>
        <v>33</v>
      </c>
      <c r="AJ60" s="55" t="n">
        <f aca="false">IF(AJ57&gt;0,AJ35,999)</f>
        <v>34</v>
      </c>
      <c r="AK60" s="55" t="n">
        <f aca="false">IF(AK57&gt;0,AK35,999)</f>
        <v>35</v>
      </c>
      <c r="AL60" s="55" t="n">
        <f aca="false">IF(AL57&gt;0,AL35,999)</f>
        <v>36</v>
      </c>
    </row>
    <row r="62" customFormat="false" ht="15" hidden="false" customHeight="false" outlineLevel="0" collapsed="false">
      <c r="B62" s="38" t="s">
        <v>326</v>
      </c>
      <c r="C62" s="39"/>
      <c r="D62" s="39"/>
    </row>
    <row r="63" customFormat="false" ht="15" hidden="false" customHeight="false" outlineLevel="0" collapsed="false">
      <c r="B63" s="47" t="s">
        <v>327</v>
      </c>
      <c r="C63" s="56" t="n">
        <f aca="false">IF(MIN(C60:AL60)=999,0,MIN(C60:AL60))</f>
        <v>28</v>
      </c>
      <c r="E63" s="42" t="s">
        <v>328</v>
      </c>
    </row>
    <row r="64" customFormat="false" ht="15" hidden="false" customHeight="false" outlineLevel="0" collapsed="false">
      <c r="B64" s="47" t="s">
        <v>329</v>
      </c>
      <c r="C64" s="56" t="n">
        <f aca="false">IFERROR(INDEX(C36:AL36,MATCH($C$63,C35:AL35,0)),0)</f>
        <v>5331.22019792316</v>
      </c>
    </row>
    <row r="65" customFormat="false" ht="15" hidden="false" customHeight="false" outlineLevel="0" collapsed="false">
      <c r="B65" s="47" t="s">
        <v>330</v>
      </c>
      <c r="C65" s="57" t="n">
        <f aca="false">-MIN(MIN(C58:AL58),0)</f>
        <v>60223574.3688065</v>
      </c>
      <c r="E65" s="42" t="s">
        <v>331</v>
      </c>
    </row>
    <row r="66" customFormat="false" ht="15" hidden="false" customHeight="false" outlineLevel="0" collapsed="false">
      <c r="B66" s="47" t="s">
        <v>332</v>
      </c>
      <c r="C66" s="58" t="n">
        <f aca="false">C65/Inputs!C19</f>
        <v>684358.799645529</v>
      </c>
    </row>
    <row r="67" customFormat="false" ht="15" hidden="false" customHeight="false" outlineLevel="0" collapsed="false">
      <c r="B67" s="47" t="s">
        <v>333</v>
      </c>
      <c r="C67" s="56" t="n">
        <f aca="false">AL36</f>
        <v>13199.9048947769</v>
      </c>
    </row>
    <row r="68" customFormat="false" ht="15" hidden="false" customHeight="false" outlineLevel="0" collapsed="false">
      <c r="B68" s="47" t="s">
        <v>334</v>
      </c>
      <c r="C68" s="56" t="n">
        <f aca="false">AL45+AL46</f>
        <v>234</v>
      </c>
    </row>
    <row r="69" customFormat="false" ht="15" hidden="false" customHeight="false" outlineLevel="0" collapsed="false">
      <c r="B69" s="47" t="s">
        <v>335</v>
      </c>
      <c r="C69" s="59" t="n">
        <f aca="false">AL47</f>
        <v>65.0241620432359</v>
      </c>
    </row>
    <row r="70" customFormat="false" ht="15" hidden="false" customHeight="false" outlineLevel="0" collapsed="false">
      <c r="B70" s="47" t="s">
        <v>336</v>
      </c>
      <c r="C70" s="57" t="n">
        <f aca="false">AL57</f>
        <v>8079401.56441283</v>
      </c>
    </row>
    <row r="71" customFormat="false" ht="15" hidden="false" customHeight="false" outlineLevel="0" collapsed="false">
      <c r="B71" s="47" t="s">
        <v>337</v>
      </c>
      <c r="C71" s="60" t="n">
        <f aca="false">AL59</f>
        <v>0.239843372294012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2026-09-12T18:30:47Z</dcterms:created>
  <dc:creator>openpyxl</dc:creator>
  <dc:description/>
  <dc:language>en-US</dc:language>
  <cp:lastModifiedBy/>
  <dcterms:modified xsi:type="dcterms:W3CDTF">2026-09-12T20:09:22Z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